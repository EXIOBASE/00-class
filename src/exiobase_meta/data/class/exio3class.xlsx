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indecol\Projects\EXIOBASE_dev\exioRoot\meta_info_and_func\class\"/>
    </mc:Choice>
  </mc:AlternateContent>
  <xr:revisionPtr revIDLastSave="0" documentId="13_ncr:1_{FF01AE4A-BFCE-486F-A88F-CEE78D72550F}" xr6:coauthVersionLast="47" xr6:coauthVersionMax="47" xr10:uidLastSave="{00000000-0000-0000-0000-000000000000}"/>
  <bookViews>
    <workbookView xWindow="-120" yWindow="-120" windowWidth="38640" windowHeight="15720" tabRatio="992" activeTab="1" xr2:uid="{00000000-000D-0000-FFFF-FFFF00000000}"/>
  </bookViews>
  <sheets>
    <sheet name="products" sheetId="1" r:id="rId1"/>
    <sheet name="industries" sheetId="2" r:id="rId2"/>
    <sheet name="valueadded_mat" sheetId="3" r:id="rId3"/>
    <sheet name="valueadded_creea" sheetId="4" r:id="rId4"/>
    <sheet name="finaldemand" sheetId="5" r:id="rId5"/>
    <sheet name="supply_table_mat" sheetId="6" r:id="rId6"/>
    <sheet name="use_table_mat" sheetId="7" r:id="rId7"/>
    <sheet name="use_layers_mat" sheetId="8" r:id="rId8"/>
    <sheet name="timeline" sheetId="9" r:id="rId9"/>
    <sheet name="extensions" sheetId="10" r:id="rId10"/>
    <sheet name="SUTstructure" sheetId="11" r:id="rId11"/>
    <sheet name="readm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9" l="1"/>
  <c r="D35" i="9"/>
  <c r="D32" i="9"/>
  <c r="D30" i="9"/>
  <c r="D33" i="9"/>
  <c r="D34" i="9"/>
  <c r="D29" i="9"/>
  <c r="D28" i="9"/>
  <c r="D27" i="9"/>
  <c r="D26" i="9"/>
  <c r="D19" i="9" l="1"/>
  <c r="D20" i="9"/>
  <c r="D21" i="9"/>
  <c r="D22" i="9"/>
  <c r="D23" i="9"/>
  <c r="D24" i="9"/>
  <c r="D25" i="9"/>
  <c r="D18" i="9" l="1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D204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D170" i="7"/>
  <c r="C170" i="7"/>
  <c r="B170" i="7"/>
  <c r="A170" i="7"/>
  <c r="D169" i="7"/>
  <c r="C169" i="7"/>
  <c r="B169" i="7"/>
  <c r="A169" i="7"/>
  <c r="D168" i="7"/>
  <c r="C168" i="7"/>
  <c r="B168" i="7"/>
  <c r="A168" i="7"/>
  <c r="D167" i="7"/>
  <c r="C167" i="7"/>
  <c r="B167" i="7"/>
  <c r="A167" i="7"/>
  <c r="D166" i="7"/>
  <c r="C166" i="7"/>
  <c r="B166" i="7"/>
  <c r="A166" i="7"/>
  <c r="D165" i="7"/>
  <c r="C165" i="7"/>
  <c r="B165" i="7"/>
  <c r="A165" i="7"/>
  <c r="D164" i="7"/>
  <c r="C164" i="7"/>
  <c r="B164" i="7"/>
  <c r="A164" i="7"/>
  <c r="D163" i="7"/>
  <c r="C163" i="7"/>
  <c r="B163" i="7"/>
  <c r="A163" i="7"/>
  <c r="D162" i="7"/>
  <c r="C162" i="7"/>
  <c r="B162" i="7"/>
  <c r="A162" i="7"/>
  <c r="D161" i="7"/>
  <c r="C161" i="7"/>
  <c r="B161" i="7"/>
  <c r="A161" i="7"/>
  <c r="D160" i="7"/>
  <c r="C160" i="7"/>
  <c r="B160" i="7"/>
  <c r="A160" i="7"/>
  <c r="D159" i="7"/>
  <c r="C159" i="7"/>
  <c r="B159" i="7"/>
  <c r="A159" i="7"/>
  <c r="D158" i="7"/>
  <c r="C158" i="7"/>
  <c r="B158" i="7"/>
  <c r="A158" i="7"/>
  <c r="D157" i="7"/>
  <c r="C157" i="7"/>
  <c r="B157" i="7"/>
  <c r="A157" i="7"/>
  <c r="D156" i="7"/>
  <c r="C156" i="7"/>
  <c r="B156" i="7"/>
  <c r="A156" i="7"/>
  <c r="D155" i="7"/>
  <c r="C155" i="7"/>
  <c r="B155" i="7"/>
  <c r="A155" i="7"/>
  <c r="D154" i="7"/>
  <c r="C154" i="7"/>
  <c r="B154" i="7"/>
  <c r="A154" i="7"/>
  <c r="D153" i="7"/>
  <c r="C153" i="7"/>
  <c r="B153" i="7"/>
  <c r="A153" i="7"/>
  <c r="D152" i="7"/>
  <c r="C152" i="7"/>
  <c r="B152" i="7"/>
  <c r="A152" i="7"/>
  <c r="D151" i="7"/>
  <c r="C151" i="7"/>
  <c r="B151" i="7"/>
  <c r="A151" i="7"/>
  <c r="D150" i="7"/>
  <c r="C150" i="7"/>
  <c r="B150" i="7"/>
  <c r="A150" i="7"/>
  <c r="D149" i="7"/>
  <c r="C149" i="7"/>
  <c r="B149" i="7"/>
  <c r="A149" i="7"/>
  <c r="D148" i="7"/>
  <c r="C148" i="7"/>
  <c r="B148" i="7"/>
  <c r="A148" i="7"/>
  <c r="D147" i="7"/>
  <c r="C147" i="7"/>
  <c r="B147" i="7"/>
  <c r="A147" i="7"/>
  <c r="D146" i="7"/>
  <c r="C146" i="7"/>
  <c r="B146" i="7"/>
  <c r="A146" i="7"/>
  <c r="D145" i="7"/>
  <c r="C145" i="7"/>
  <c r="B145" i="7"/>
  <c r="A145" i="7"/>
  <c r="D144" i="7"/>
  <c r="C144" i="7"/>
  <c r="B144" i="7"/>
  <c r="A144" i="7"/>
  <c r="D143" i="7"/>
  <c r="C143" i="7"/>
  <c r="B143" i="7"/>
  <c r="A143" i="7"/>
  <c r="D142" i="7"/>
  <c r="C142" i="7"/>
  <c r="B142" i="7"/>
  <c r="A142" i="7"/>
  <c r="D141" i="7"/>
  <c r="C141" i="7"/>
  <c r="B141" i="7"/>
  <c r="A141" i="7"/>
  <c r="D140" i="7"/>
  <c r="C140" i="7"/>
  <c r="B140" i="7"/>
  <c r="A140" i="7"/>
  <c r="D139" i="7"/>
  <c r="C139" i="7"/>
  <c r="B139" i="7"/>
  <c r="A139" i="7"/>
  <c r="D138" i="7"/>
  <c r="C138" i="7"/>
  <c r="B138" i="7"/>
  <c r="A138" i="7"/>
  <c r="D137" i="7"/>
  <c r="C137" i="7"/>
  <c r="B137" i="7"/>
  <c r="A137" i="7"/>
  <c r="D136" i="7"/>
  <c r="C136" i="7"/>
  <c r="B136" i="7"/>
  <c r="A136" i="7"/>
  <c r="D135" i="7"/>
  <c r="C135" i="7"/>
  <c r="B135" i="7"/>
  <c r="A135" i="7"/>
  <c r="D134" i="7"/>
  <c r="C134" i="7"/>
  <c r="B134" i="7"/>
  <c r="A134" i="7"/>
  <c r="D133" i="7"/>
  <c r="C133" i="7"/>
  <c r="B133" i="7"/>
  <c r="A133" i="7"/>
  <c r="D132" i="7"/>
  <c r="C132" i="7"/>
  <c r="B132" i="7"/>
  <c r="A132" i="7"/>
  <c r="D131" i="7"/>
  <c r="C131" i="7"/>
  <c r="B131" i="7"/>
  <c r="A131" i="7"/>
  <c r="D130" i="7"/>
  <c r="C130" i="7"/>
  <c r="B130" i="7"/>
  <c r="A130" i="7"/>
  <c r="D129" i="7"/>
  <c r="C129" i="7"/>
  <c r="B129" i="7"/>
  <c r="A129" i="7"/>
  <c r="D128" i="7"/>
  <c r="C128" i="7"/>
  <c r="B128" i="7"/>
  <c r="A128" i="7"/>
  <c r="D127" i="7"/>
  <c r="C127" i="7"/>
  <c r="B127" i="7"/>
  <c r="A127" i="7"/>
  <c r="D126" i="7"/>
  <c r="C126" i="7"/>
  <c r="B126" i="7"/>
  <c r="A126" i="7"/>
  <c r="D125" i="7"/>
  <c r="C125" i="7"/>
  <c r="B125" i="7"/>
  <c r="A125" i="7"/>
  <c r="D124" i="7"/>
  <c r="C124" i="7"/>
  <c r="B124" i="7"/>
  <c r="A124" i="7"/>
  <c r="D123" i="7"/>
  <c r="C123" i="7"/>
  <c r="B123" i="7"/>
  <c r="A123" i="7"/>
  <c r="D122" i="7"/>
  <c r="C122" i="7"/>
  <c r="B122" i="7"/>
  <c r="A122" i="7"/>
  <c r="D121" i="7"/>
  <c r="C121" i="7"/>
  <c r="B121" i="7"/>
  <c r="A121" i="7"/>
  <c r="D120" i="7"/>
  <c r="C120" i="7"/>
  <c r="B120" i="7"/>
  <c r="A120" i="7"/>
  <c r="D119" i="7"/>
  <c r="C119" i="7"/>
  <c r="B119" i="7"/>
  <c r="A119" i="7"/>
  <c r="D118" i="7"/>
  <c r="C118" i="7"/>
  <c r="B118" i="7"/>
  <c r="A118" i="7"/>
  <c r="D117" i="7"/>
  <c r="C117" i="7"/>
  <c r="B117" i="7"/>
  <c r="A117" i="7"/>
  <c r="D116" i="7"/>
  <c r="C116" i="7"/>
  <c r="B116" i="7"/>
  <c r="A116" i="7"/>
  <c r="D115" i="7"/>
  <c r="C115" i="7"/>
  <c r="B115" i="7"/>
  <c r="A115" i="7"/>
  <c r="D114" i="7"/>
  <c r="C114" i="7"/>
  <c r="B114" i="7"/>
  <c r="A114" i="7"/>
  <c r="D113" i="7"/>
  <c r="C113" i="7"/>
  <c r="B113" i="7"/>
  <c r="A113" i="7"/>
  <c r="D112" i="7"/>
  <c r="C112" i="7"/>
  <c r="B112" i="7"/>
  <c r="A112" i="7"/>
  <c r="D111" i="7"/>
  <c r="C111" i="7"/>
  <c r="B111" i="7"/>
  <c r="A111" i="7"/>
  <c r="D110" i="7"/>
  <c r="C110" i="7"/>
  <c r="B110" i="7"/>
  <c r="A110" i="7"/>
  <c r="D109" i="7"/>
  <c r="C109" i="7"/>
  <c r="B109" i="7"/>
  <c r="A109" i="7"/>
  <c r="D108" i="7"/>
  <c r="C108" i="7"/>
  <c r="B108" i="7"/>
  <c r="A108" i="7"/>
  <c r="D107" i="7"/>
  <c r="C107" i="7"/>
  <c r="B107" i="7"/>
  <c r="A107" i="7"/>
  <c r="D106" i="7"/>
  <c r="C106" i="7"/>
  <c r="B106" i="7"/>
  <c r="A106" i="7"/>
  <c r="D105" i="7"/>
  <c r="C105" i="7"/>
  <c r="B105" i="7"/>
  <c r="A105" i="7"/>
  <c r="D104" i="7"/>
  <c r="C104" i="7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B99" i="7"/>
  <c r="A99" i="7"/>
  <c r="D98" i="7"/>
  <c r="C98" i="7"/>
  <c r="B98" i="7"/>
  <c r="A98" i="7"/>
  <c r="D97" i="7"/>
  <c r="C97" i="7"/>
  <c r="B97" i="7"/>
  <c r="A97" i="7"/>
  <c r="D96" i="7"/>
  <c r="C96" i="7"/>
  <c r="B96" i="7"/>
  <c r="A96" i="7"/>
  <c r="D95" i="7"/>
  <c r="C95" i="7"/>
  <c r="B95" i="7"/>
  <c r="A95" i="7"/>
  <c r="D94" i="7"/>
  <c r="C94" i="7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A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FL1" i="7" a="1"/>
  <c r="FM4" i="7" s="1"/>
  <c r="E1" i="7" a="1"/>
  <c r="FK4" i="7" s="1"/>
  <c r="D204" i="6"/>
  <c r="C204" i="6"/>
  <c r="B204" i="6"/>
  <c r="A204" i="6"/>
  <c r="D203" i="6"/>
  <c r="C203" i="6"/>
  <c r="B203" i="6"/>
  <c r="A203" i="6"/>
  <c r="D202" i="6"/>
  <c r="C202" i="6"/>
  <c r="B202" i="6"/>
  <c r="A202" i="6"/>
  <c r="D201" i="6"/>
  <c r="C201" i="6"/>
  <c r="B201" i="6"/>
  <c r="A201" i="6"/>
  <c r="D200" i="6"/>
  <c r="C200" i="6"/>
  <c r="B200" i="6"/>
  <c r="A200" i="6"/>
  <c r="D199" i="6"/>
  <c r="C199" i="6"/>
  <c r="B199" i="6"/>
  <c r="A199" i="6"/>
  <c r="D198" i="6"/>
  <c r="C198" i="6"/>
  <c r="B198" i="6"/>
  <c r="A198" i="6"/>
  <c r="D197" i="6"/>
  <c r="C197" i="6"/>
  <c r="B197" i="6"/>
  <c r="A197" i="6"/>
  <c r="D196" i="6"/>
  <c r="C196" i="6"/>
  <c r="B196" i="6"/>
  <c r="A196" i="6"/>
  <c r="D195" i="6"/>
  <c r="C195" i="6"/>
  <c r="B195" i="6"/>
  <c r="A195" i="6"/>
  <c r="D194" i="6"/>
  <c r="C194" i="6"/>
  <c r="B194" i="6"/>
  <c r="A194" i="6"/>
  <c r="D193" i="6"/>
  <c r="C193" i="6"/>
  <c r="B193" i="6"/>
  <c r="A193" i="6"/>
  <c r="D192" i="6"/>
  <c r="C192" i="6"/>
  <c r="B192" i="6"/>
  <c r="A192" i="6"/>
  <c r="D191" i="6"/>
  <c r="C191" i="6"/>
  <c r="B191" i="6"/>
  <c r="A191" i="6"/>
  <c r="D190" i="6"/>
  <c r="C190" i="6"/>
  <c r="B190" i="6"/>
  <c r="A190" i="6"/>
  <c r="D189" i="6"/>
  <c r="C189" i="6"/>
  <c r="B189" i="6"/>
  <c r="A189" i="6"/>
  <c r="D188" i="6"/>
  <c r="C188" i="6"/>
  <c r="B188" i="6"/>
  <c r="A188" i="6"/>
  <c r="D187" i="6"/>
  <c r="C187" i="6"/>
  <c r="B187" i="6"/>
  <c r="A187" i="6"/>
  <c r="D186" i="6"/>
  <c r="C186" i="6"/>
  <c r="B186" i="6"/>
  <c r="A186" i="6"/>
  <c r="D185" i="6"/>
  <c r="C185" i="6"/>
  <c r="B185" i="6"/>
  <c r="A185" i="6"/>
  <c r="D184" i="6"/>
  <c r="C184" i="6"/>
  <c r="B184" i="6"/>
  <c r="A184" i="6"/>
  <c r="D183" i="6"/>
  <c r="C183" i="6"/>
  <c r="B183" i="6"/>
  <c r="A183" i="6"/>
  <c r="D182" i="6"/>
  <c r="C182" i="6"/>
  <c r="B182" i="6"/>
  <c r="A182" i="6"/>
  <c r="D181" i="6"/>
  <c r="C181" i="6"/>
  <c r="B181" i="6"/>
  <c r="A181" i="6"/>
  <c r="D180" i="6"/>
  <c r="C180" i="6"/>
  <c r="B180" i="6"/>
  <c r="A180" i="6"/>
  <c r="D179" i="6"/>
  <c r="C179" i="6"/>
  <c r="B179" i="6"/>
  <c r="A179" i="6"/>
  <c r="D178" i="6"/>
  <c r="C178" i="6"/>
  <c r="B178" i="6"/>
  <c r="A178" i="6"/>
  <c r="D177" i="6"/>
  <c r="C177" i="6"/>
  <c r="B177" i="6"/>
  <c r="A177" i="6"/>
  <c r="D176" i="6"/>
  <c r="C176" i="6"/>
  <c r="B176" i="6"/>
  <c r="A176" i="6"/>
  <c r="D175" i="6"/>
  <c r="C175" i="6"/>
  <c r="B175" i="6"/>
  <c r="A175" i="6"/>
  <c r="D174" i="6"/>
  <c r="C174" i="6"/>
  <c r="B174" i="6"/>
  <c r="A174" i="6"/>
  <c r="D173" i="6"/>
  <c r="C173" i="6"/>
  <c r="B173" i="6"/>
  <c r="A173" i="6"/>
  <c r="D172" i="6"/>
  <c r="C172" i="6"/>
  <c r="B172" i="6"/>
  <c r="A172" i="6"/>
  <c r="D171" i="6"/>
  <c r="C171" i="6"/>
  <c r="B171" i="6"/>
  <c r="A171" i="6"/>
  <c r="D170" i="6"/>
  <c r="C170" i="6"/>
  <c r="B170" i="6"/>
  <c r="A170" i="6"/>
  <c r="D169" i="6"/>
  <c r="C169" i="6"/>
  <c r="B169" i="6"/>
  <c r="A169" i="6"/>
  <c r="D168" i="6"/>
  <c r="C168" i="6"/>
  <c r="B168" i="6"/>
  <c r="A168" i="6"/>
  <c r="D167" i="6"/>
  <c r="C167" i="6"/>
  <c r="B167" i="6"/>
  <c r="A167" i="6"/>
  <c r="D166" i="6"/>
  <c r="C166" i="6"/>
  <c r="B166" i="6"/>
  <c r="A166" i="6"/>
  <c r="D165" i="6"/>
  <c r="C165" i="6"/>
  <c r="B165" i="6"/>
  <c r="A165" i="6"/>
  <c r="D164" i="6"/>
  <c r="C164" i="6"/>
  <c r="B164" i="6"/>
  <c r="A164" i="6"/>
  <c r="D163" i="6"/>
  <c r="C163" i="6"/>
  <c r="B163" i="6"/>
  <c r="A163" i="6"/>
  <c r="D162" i="6"/>
  <c r="C162" i="6"/>
  <c r="B162" i="6"/>
  <c r="A162" i="6"/>
  <c r="D161" i="6"/>
  <c r="C161" i="6"/>
  <c r="B161" i="6"/>
  <c r="A161" i="6"/>
  <c r="D160" i="6"/>
  <c r="C160" i="6"/>
  <c r="B160" i="6"/>
  <c r="A160" i="6"/>
  <c r="D159" i="6"/>
  <c r="C159" i="6"/>
  <c r="B159" i="6"/>
  <c r="A159" i="6"/>
  <c r="D158" i="6"/>
  <c r="C158" i="6"/>
  <c r="B158" i="6"/>
  <c r="A158" i="6"/>
  <c r="D157" i="6"/>
  <c r="C157" i="6"/>
  <c r="B157" i="6"/>
  <c r="A157" i="6"/>
  <c r="D156" i="6"/>
  <c r="C156" i="6"/>
  <c r="B156" i="6"/>
  <c r="A156" i="6"/>
  <c r="D155" i="6"/>
  <c r="C155" i="6"/>
  <c r="B155" i="6"/>
  <c r="A155" i="6"/>
  <c r="D154" i="6"/>
  <c r="C154" i="6"/>
  <c r="B154" i="6"/>
  <c r="A154" i="6"/>
  <c r="D153" i="6"/>
  <c r="C153" i="6"/>
  <c r="B153" i="6"/>
  <c r="A153" i="6"/>
  <c r="D152" i="6"/>
  <c r="C152" i="6"/>
  <c r="B152" i="6"/>
  <c r="A152" i="6"/>
  <c r="D151" i="6"/>
  <c r="C151" i="6"/>
  <c r="B151" i="6"/>
  <c r="A151" i="6"/>
  <c r="D150" i="6"/>
  <c r="C150" i="6"/>
  <c r="B150" i="6"/>
  <c r="A150" i="6"/>
  <c r="D149" i="6"/>
  <c r="C149" i="6"/>
  <c r="B149" i="6"/>
  <c r="A149" i="6"/>
  <c r="D148" i="6"/>
  <c r="C148" i="6"/>
  <c r="B148" i="6"/>
  <c r="A148" i="6"/>
  <c r="D147" i="6"/>
  <c r="C147" i="6"/>
  <c r="B147" i="6"/>
  <c r="A147" i="6"/>
  <c r="D146" i="6"/>
  <c r="C146" i="6"/>
  <c r="B146" i="6"/>
  <c r="A146" i="6"/>
  <c r="D145" i="6"/>
  <c r="C145" i="6"/>
  <c r="B145" i="6"/>
  <c r="A145" i="6"/>
  <c r="D144" i="6"/>
  <c r="C144" i="6"/>
  <c r="B144" i="6"/>
  <c r="A144" i="6"/>
  <c r="D143" i="6"/>
  <c r="C143" i="6"/>
  <c r="B143" i="6"/>
  <c r="A143" i="6"/>
  <c r="D142" i="6"/>
  <c r="C142" i="6"/>
  <c r="B142" i="6"/>
  <c r="A142" i="6"/>
  <c r="D141" i="6"/>
  <c r="C141" i="6"/>
  <c r="B141" i="6"/>
  <c r="A141" i="6"/>
  <c r="D140" i="6"/>
  <c r="C140" i="6"/>
  <c r="B140" i="6"/>
  <c r="A140" i="6"/>
  <c r="D139" i="6"/>
  <c r="C139" i="6"/>
  <c r="B139" i="6"/>
  <c r="A139" i="6"/>
  <c r="D138" i="6"/>
  <c r="C138" i="6"/>
  <c r="B138" i="6"/>
  <c r="A138" i="6"/>
  <c r="D137" i="6"/>
  <c r="C137" i="6"/>
  <c r="B137" i="6"/>
  <c r="A137" i="6"/>
  <c r="D136" i="6"/>
  <c r="C136" i="6"/>
  <c r="B136" i="6"/>
  <c r="A136" i="6"/>
  <c r="D135" i="6"/>
  <c r="C135" i="6"/>
  <c r="B135" i="6"/>
  <c r="A135" i="6"/>
  <c r="D134" i="6"/>
  <c r="C134" i="6"/>
  <c r="B134" i="6"/>
  <c r="A134" i="6"/>
  <c r="D133" i="6"/>
  <c r="C133" i="6"/>
  <c r="B133" i="6"/>
  <c r="A133" i="6"/>
  <c r="D132" i="6"/>
  <c r="C132" i="6"/>
  <c r="B132" i="6"/>
  <c r="A132" i="6"/>
  <c r="D131" i="6"/>
  <c r="C131" i="6"/>
  <c r="B131" i="6"/>
  <c r="A131" i="6"/>
  <c r="D130" i="6"/>
  <c r="C130" i="6"/>
  <c r="B130" i="6"/>
  <c r="A130" i="6"/>
  <c r="D129" i="6"/>
  <c r="C129" i="6"/>
  <c r="B129" i="6"/>
  <c r="A129" i="6"/>
  <c r="D128" i="6"/>
  <c r="C128" i="6"/>
  <c r="B128" i="6"/>
  <c r="A128" i="6"/>
  <c r="D127" i="6"/>
  <c r="C127" i="6"/>
  <c r="B127" i="6"/>
  <c r="A127" i="6"/>
  <c r="D126" i="6"/>
  <c r="C126" i="6"/>
  <c r="B126" i="6"/>
  <c r="A126" i="6"/>
  <c r="D125" i="6"/>
  <c r="C125" i="6"/>
  <c r="B125" i="6"/>
  <c r="A125" i="6"/>
  <c r="D124" i="6"/>
  <c r="C124" i="6"/>
  <c r="B124" i="6"/>
  <c r="A124" i="6"/>
  <c r="D123" i="6"/>
  <c r="C123" i="6"/>
  <c r="B123" i="6"/>
  <c r="A123" i="6"/>
  <c r="D122" i="6"/>
  <c r="C122" i="6"/>
  <c r="B122" i="6"/>
  <c r="A122" i="6"/>
  <c r="D121" i="6"/>
  <c r="C121" i="6"/>
  <c r="B121" i="6"/>
  <c r="A121" i="6"/>
  <c r="D120" i="6"/>
  <c r="C120" i="6"/>
  <c r="B120" i="6"/>
  <c r="A120" i="6"/>
  <c r="D119" i="6"/>
  <c r="C119" i="6"/>
  <c r="B119" i="6"/>
  <c r="A119" i="6"/>
  <c r="D118" i="6"/>
  <c r="C118" i="6"/>
  <c r="B118" i="6"/>
  <c r="A118" i="6"/>
  <c r="D117" i="6"/>
  <c r="C117" i="6"/>
  <c r="B117" i="6"/>
  <c r="A117" i="6"/>
  <c r="D116" i="6"/>
  <c r="C116" i="6"/>
  <c r="B116" i="6"/>
  <c r="A116" i="6"/>
  <c r="D115" i="6"/>
  <c r="C115" i="6"/>
  <c r="B115" i="6"/>
  <c r="A115" i="6"/>
  <c r="D114" i="6"/>
  <c r="C114" i="6"/>
  <c r="B114" i="6"/>
  <c r="A114" i="6"/>
  <c r="D113" i="6"/>
  <c r="C113" i="6"/>
  <c r="B113" i="6"/>
  <c r="A113" i="6"/>
  <c r="D112" i="6"/>
  <c r="C112" i="6"/>
  <c r="B112" i="6"/>
  <c r="A112" i="6"/>
  <c r="D111" i="6"/>
  <c r="C111" i="6"/>
  <c r="B111" i="6"/>
  <c r="A111" i="6"/>
  <c r="D110" i="6"/>
  <c r="C110" i="6"/>
  <c r="B110" i="6"/>
  <c r="A110" i="6"/>
  <c r="D109" i="6"/>
  <c r="C109" i="6"/>
  <c r="B109" i="6"/>
  <c r="A109" i="6"/>
  <c r="D108" i="6"/>
  <c r="C108" i="6"/>
  <c r="B108" i="6"/>
  <c r="A108" i="6"/>
  <c r="D107" i="6"/>
  <c r="C107" i="6"/>
  <c r="B107" i="6"/>
  <c r="A107" i="6"/>
  <c r="D106" i="6"/>
  <c r="C106" i="6"/>
  <c r="B106" i="6"/>
  <c r="A106" i="6"/>
  <c r="D105" i="6"/>
  <c r="C105" i="6"/>
  <c r="B105" i="6"/>
  <c r="A105" i="6"/>
  <c r="D104" i="6"/>
  <c r="C104" i="6"/>
  <c r="B104" i="6"/>
  <c r="A104" i="6"/>
  <c r="D103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D96" i="6"/>
  <c r="C96" i="6"/>
  <c r="B96" i="6"/>
  <c r="A96" i="6"/>
  <c r="D95" i="6"/>
  <c r="C95" i="6"/>
  <c r="B95" i="6"/>
  <c r="A95" i="6"/>
  <c r="D94" i="6"/>
  <c r="C94" i="6"/>
  <c r="B94" i="6"/>
  <c r="A94" i="6"/>
  <c r="D93" i="6"/>
  <c r="C93" i="6"/>
  <c r="B93" i="6"/>
  <c r="A93" i="6"/>
  <c r="D92" i="6"/>
  <c r="C92" i="6"/>
  <c r="B92" i="6"/>
  <c r="A92" i="6"/>
  <c r="D91" i="6"/>
  <c r="C91" i="6"/>
  <c r="B91" i="6"/>
  <c r="A91" i="6"/>
  <c r="D90" i="6"/>
  <c r="C90" i="6"/>
  <c r="B90" i="6"/>
  <c r="A90" i="6"/>
  <c r="D89" i="6"/>
  <c r="C89" i="6"/>
  <c r="B89" i="6"/>
  <c r="A89" i="6"/>
  <c r="D88" i="6"/>
  <c r="C88" i="6"/>
  <c r="B88" i="6"/>
  <c r="A88" i="6"/>
  <c r="D87" i="6"/>
  <c r="C87" i="6"/>
  <c r="B87" i="6"/>
  <c r="A87" i="6"/>
  <c r="D86" i="6"/>
  <c r="C86" i="6"/>
  <c r="B86" i="6"/>
  <c r="A86" i="6"/>
  <c r="D85" i="6"/>
  <c r="C85" i="6"/>
  <c r="B85" i="6"/>
  <c r="A85" i="6"/>
  <c r="D84" i="6"/>
  <c r="C84" i="6"/>
  <c r="B84" i="6"/>
  <c r="A84" i="6"/>
  <c r="D83" i="6"/>
  <c r="C83" i="6"/>
  <c r="B83" i="6"/>
  <c r="A83" i="6"/>
  <c r="D82" i="6"/>
  <c r="C82" i="6"/>
  <c r="B82" i="6"/>
  <c r="A82" i="6"/>
  <c r="D81" i="6"/>
  <c r="C81" i="6"/>
  <c r="B81" i="6"/>
  <c r="A81" i="6"/>
  <c r="D80" i="6"/>
  <c r="C80" i="6"/>
  <c r="B80" i="6"/>
  <c r="A80" i="6"/>
  <c r="D79" i="6"/>
  <c r="C79" i="6"/>
  <c r="B79" i="6"/>
  <c r="A79" i="6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D54" i="6"/>
  <c r="C54" i="6"/>
  <c r="B54" i="6"/>
  <c r="A54" i="6"/>
  <c r="D53" i="6"/>
  <c r="C53" i="6"/>
  <c r="B53" i="6"/>
  <c r="A53" i="6"/>
  <c r="D52" i="6"/>
  <c r="C52" i="6"/>
  <c r="B52" i="6"/>
  <c r="A52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D47" i="6"/>
  <c r="C47" i="6"/>
  <c r="B47" i="6"/>
  <c r="A47" i="6"/>
  <c r="D46" i="6"/>
  <c r="C46" i="6"/>
  <c r="B46" i="6"/>
  <c r="A46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D5" i="6"/>
  <c r="C5" i="6"/>
  <c r="B5" i="6"/>
  <c r="A5" i="6"/>
  <c r="E1" i="6" a="1"/>
  <c r="FI4" i="6" s="1"/>
  <c r="G26" i="4"/>
  <c r="G25" i="4"/>
  <c r="G24" i="4"/>
  <c r="K24" i="4" s="1"/>
  <c r="G23" i="4"/>
  <c r="G22" i="4"/>
  <c r="G21" i="4"/>
  <c r="K21" i="4" s="1"/>
  <c r="G20" i="4"/>
  <c r="K20" i="4" s="1"/>
  <c r="Q20" i="4" s="1"/>
  <c r="G19" i="4"/>
  <c r="K19" i="4" s="1"/>
  <c r="G18" i="4"/>
  <c r="K18" i="4" s="1"/>
  <c r="G17" i="4"/>
  <c r="K17" i="4" s="1"/>
  <c r="G16" i="4"/>
  <c r="K16" i="4" s="1"/>
  <c r="Q16" i="4" s="1"/>
  <c r="G15" i="4"/>
  <c r="G14" i="4"/>
  <c r="K14" i="4" s="1"/>
  <c r="G13" i="4"/>
  <c r="K13" i="4" s="1"/>
  <c r="Q13" i="4" s="1"/>
  <c r="G12" i="4"/>
  <c r="G11" i="4"/>
  <c r="K11" i="4" s="1"/>
  <c r="Q11" i="4" s="1"/>
  <c r="G10" i="4"/>
  <c r="K10" i="4" s="1"/>
  <c r="G9" i="4"/>
  <c r="G8" i="4"/>
  <c r="K8" i="4" s="1"/>
  <c r="Q8" i="4" s="1"/>
  <c r="G7" i="4"/>
  <c r="G6" i="4"/>
  <c r="G5" i="4"/>
  <c r="K5" i="4" s="1"/>
  <c r="Q5" i="4" s="1"/>
  <c r="G4" i="4"/>
  <c r="K4" i="4" s="1"/>
  <c r="Q4" i="4" s="1"/>
  <c r="G3" i="4"/>
  <c r="G2" i="4"/>
  <c r="G13" i="3"/>
  <c r="L13" i="3" s="1"/>
  <c r="N13" i="3" s="1"/>
  <c r="G12" i="3"/>
  <c r="L12" i="3" s="1"/>
  <c r="G11" i="3"/>
  <c r="L11" i="3" s="1"/>
  <c r="G10" i="3"/>
  <c r="L10" i="3" s="1"/>
  <c r="N10" i="3" s="1"/>
  <c r="G9" i="3"/>
  <c r="L9" i="3" s="1"/>
  <c r="N9" i="3" s="1"/>
  <c r="G8" i="3"/>
  <c r="L8" i="3" s="1"/>
  <c r="N8" i="3" s="1"/>
  <c r="G7" i="3"/>
  <c r="G6" i="3"/>
  <c r="L6" i="3" s="1"/>
  <c r="G5" i="3"/>
  <c r="L5" i="3" s="1"/>
  <c r="N5" i="3" s="1"/>
  <c r="G4" i="3"/>
  <c r="L4" i="3" s="1"/>
  <c r="N4" i="3" s="1"/>
  <c r="G3" i="3"/>
  <c r="L3" i="3" s="1"/>
  <c r="G2" i="3"/>
  <c r="L2" i="3" s="1"/>
  <c r="N2" i="3" s="1"/>
  <c r="FM1" i="7" l="1"/>
  <c r="L1" i="6"/>
  <c r="E2" i="6"/>
  <c r="DH3" i="6"/>
  <c r="EQ4" i="6"/>
  <c r="FJ1" i="7"/>
  <c r="CR3" i="7"/>
  <c r="BO2" i="7"/>
  <c r="FD3" i="7"/>
  <c r="FR1" i="7"/>
  <c r="BB1" i="6"/>
  <c r="AR3" i="6"/>
  <c r="J2" i="6"/>
  <c r="AY3" i="6"/>
  <c r="FA4" i="6"/>
  <c r="AQ2" i="7"/>
  <c r="DU1" i="6"/>
  <c r="BJ3" i="6"/>
  <c r="Y1" i="6"/>
  <c r="CP2" i="6"/>
  <c r="BO3" i="6"/>
  <c r="BT4" i="6"/>
  <c r="N1" i="7"/>
  <c r="DC2" i="7"/>
  <c r="AK4" i="7"/>
  <c r="FO2" i="7"/>
  <c r="DL1" i="6"/>
  <c r="EO2" i="6"/>
  <c r="AO4" i="6"/>
  <c r="BP1" i="6"/>
  <c r="ED3" i="6"/>
  <c r="DZ1" i="6"/>
  <c r="EJ3" i="6"/>
  <c r="Q19" i="4"/>
  <c r="AD1" i="6"/>
  <c r="CD1" i="6"/>
  <c r="EJ1" i="6"/>
  <c r="AK2" i="6"/>
  <c r="DA2" i="6"/>
  <c r="K3" i="6"/>
  <c r="BZ3" i="6"/>
  <c r="EY3" i="6"/>
  <c r="CJ4" i="6"/>
  <c r="AL1" i="7"/>
  <c r="EA2" i="7"/>
  <c r="BI4" i="7"/>
  <c r="FR3" i="7"/>
  <c r="DF1" i="6"/>
  <c r="EI2" i="6"/>
  <c r="AI4" i="6"/>
  <c r="BH1" i="6"/>
  <c r="EF3" i="7"/>
  <c r="CK2" i="6"/>
  <c r="BU1" i="6"/>
  <c r="Z2" i="6"/>
  <c r="FG2" i="6"/>
  <c r="E1" i="6"/>
  <c r="AJ1" i="6"/>
  <c r="CJ1" i="6"/>
  <c r="EO1" i="6"/>
  <c r="AQ2" i="6"/>
  <c r="DG2" i="6"/>
  <c r="P3" i="6"/>
  <c r="CH3" i="6"/>
  <c r="FF3" i="6"/>
  <c r="CU4" i="6"/>
  <c r="BZ1" i="7"/>
  <c r="H3" i="7"/>
  <c r="CW4" i="7"/>
  <c r="BR2" i="6"/>
  <c r="Q17" i="4"/>
  <c r="Q1" i="6"/>
  <c r="BZ2" i="6"/>
  <c r="DO3" i="6"/>
  <c r="V1" i="6"/>
  <c r="S2" i="6"/>
  <c r="EY2" i="6"/>
  <c r="BI4" i="6"/>
  <c r="AN1" i="6"/>
  <c r="EW1" i="6"/>
  <c r="DR2" i="6"/>
  <c r="CR3" i="6"/>
  <c r="DL4" i="6"/>
  <c r="CX1" i="7"/>
  <c r="AF3" i="7"/>
  <c r="DU4" i="7"/>
  <c r="CS1" i="6"/>
  <c r="BB2" i="6"/>
  <c r="AA3" i="6"/>
  <c r="M4" i="6"/>
  <c r="H1" i="6"/>
  <c r="AS1" i="6"/>
  <c r="CX1" i="6"/>
  <c r="FB1" i="6"/>
  <c r="BG2" i="6"/>
  <c r="DY2" i="6"/>
  <c r="AH3" i="6"/>
  <c r="CX3" i="6"/>
  <c r="T4" i="6"/>
  <c r="DW4" i="6"/>
  <c r="EL1" i="7"/>
  <c r="BT3" i="7"/>
  <c r="FI4" i="7"/>
  <c r="Q24" i="4"/>
  <c r="K2" i="4"/>
  <c r="Q2" i="4" s="1"/>
  <c r="L7" i="3"/>
  <c r="N7" i="3" s="1"/>
  <c r="BJ1" i="7"/>
  <c r="DV1" i="7"/>
  <c r="AA2" i="7"/>
  <c r="CM2" i="7"/>
  <c r="EY2" i="7"/>
  <c r="BD3" i="7"/>
  <c r="DP3" i="7"/>
  <c r="U4" i="7"/>
  <c r="CG4" i="7"/>
  <c r="ES4" i="7"/>
  <c r="FP1" i="7"/>
  <c r="FR2" i="7"/>
  <c r="AX1" i="6"/>
  <c r="BM1" i="6"/>
  <c r="BZ1" i="6"/>
  <c r="CO1" i="6"/>
  <c r="DD1" i="6"/>
  <c r="DQ1" i="6"/>
  <c r="EF1" i="6"/>
  <c r="ET1" i="6"/>
  <c r="FH1" i="6"/>
  <c r="O2" i="6"/>
  <c r="AG2" i="6"/>
  <c r="AW2" i="6"/>
  <c r="BO2" i="6"/>
  <c r="CE2" i="6"/>
  <c r="CW2" i="6"/>
  <c r="DN2" i="6"/>
  <c r="ED2" i="6"/>
  <c r="EW2" i="6"/>
  <c r="F3" i="6"/>
  <c r="W3" i="6"/>
  <c r="AN3" i="6"/>
  <c r="BD3" i="6"/>
  <c r="BW3" i="6"/>
  <c r="CM3" i="6"/>
  <c r="DD3" i="6"/>
  <c r="DX3" i="6"/>
  <c r="ET3" i="6"/>
  <c r="H4" i="6"/>
  <c r="AC4" i="6"/>
  <c r="AZ4" i="6"/>
  <c r="CE4" i="6"/>
  <c r="DE4" i="6"/>
  <c r="EG4" i="6"/>
  <c r="I1" i="6"/>
  <c r="X1" i="6"/>
  <c r="AL1" i="6"/>
  <c r="AZ1" i="6"/>
  <c r="BN1" i="6"/>
  <c r="CC1" i="6"/>
  <c r="CP1" i="6"/>
  <c r="DE1" i="6"/>
  <c r="DT1" i="6"/>
  <c r="EG1" i="6"/>
  <c r="EV1" i="6"/>
  <c r="FJ1" i="6"/>
  <c r="Q2" i="6"/>
  <c r="AI2" i="6"/>
  <c r="AY2" i="6"/>
  <c r="BQ2" i="6"/>
  <c r="CH2" i="6"/>
  <c r="CX2" i="6"/>
  <c r="DQ2" i="6"/>
  <c r="EG2" i="6"/>
  <c r="EX2" i="6"/>
  <c r="H3" i="6"/>
  <c r="X3" i="6"/>
  <c r="AQ3" i="6"/>
  <c r="BG3" i="6"/>
  <c r="BX3" i="6"/>
  <c r="CP3" i="6"/>
  <c r="DF3" i="6"/>
  <c r="DZ3" i="6"/>
  <c r="EU3" i="6"/>
  <c r="I4" i="6"/>
  <c r="AE4" i="6"/>
  <c r="BD4" i="6"/>
  <c r="CF4" i="6"/>
  <c r="DK4" i="6"/>
  <c r="EK4" i="6"/>
  <c r="F1" i="7"/>
  <c r="BR1" i="7"/>
  <c r="ED1" i="7"/>
  <c r="AI2" i="7"/>
  <c r="CU2" i="7"/>
  <c r="FG2" i="7"/>
  <c r="BL3" i="7"/>
  <c r="DX3" i="7"/>
  <c r="AC4" i="7"/>
  <c r="CO4" i="7"/>
  <c r="FA4" i="7"/>
  <c r="FQ1" i="7"/>
  <c r="FO3" i="7"/>
  <c r="M1" i="6"/>
  <c r="AB1" i="6"/>
  <c r="AO1" i="6"/>
  <c r="BD1" i="6"/>
  <c r="BR1" i="6"/>
  <c r="CF1" i="6"/>
  <c r="CT1" i="6"/>
  <c r="DI1" i="6"/>
  <c r="DV1" i="6"/>
  <c r="EK1" i="6"/>
  <c r="EZ1" i="6"/>
  <c r="F2" i="6"/>
  <c r="V2" i="6"/>
  <c r="AL2" i="6"/>
  <c r="BE2" i="6"/>
  <c r="BU2" i="6"/>
  <c r="CL2" i="6"/>
  <c r="DC2" i="6"/>
  <c r="DS2" i="6"/>
  <c r="EL2" i="6"/>
  <c r="FB2" i="6"/>
  <c r="L3" i="6"/>
  <c r="AD3" i="6"/>
  <c r="AT3" i="6"/>
  <c r="BL3" i="6"/>
  <c r="CB3" i="6"/>
  <c r="CT3" i="6"/>
  <c r="DK3" i="6"/>
  <c r="EF3" i="6"/>
  <c r="FB3" i="6"/>
  <c r="P4" i="6"/>
  <c r="AK4" i="6"/>
  <c r="BK4" i="6"/>
  <c r="CO4" i="6"/>
  <c r="DP4" i="6"/>
  <c r="ER4" i="6"/>
  <c r="V1" i="7"/>
  <c r="CH1" i="7"/>
  <c r="ET1" i="7"/>
  <c r="AY2" i="7"/>
  <c r="DK2" i="7"/>
  <c r="P3" i="7"/>
  <c r="CB3" i="7"/>
  <c r="EN3" i="7"/>
  <c r="AS4" i="7"/>
  <c r="DE4" i="7"/>
  <c r="FL1" i="7"/>
  <c r="FL2" i="7"/>
  <c r="FL4" i="7"/>
  <c r="N1" i="6"/>
  <c r="AC1" i="6"/>
  <c r="AR1" i="6"/>
  <c r="BE1" i="6"/>
  <c r="BT1" i="6"/>
  <c r="CH1" i="6"/>
  <c r="CV1" i="6"/>
  <c r="DJ1" i="6"/>
  <c r="DY1" i="6"/>
  <c r="EL1" i="6"/>
  <c r="FA1" i="6"/>
  <c r="I2" i="6"/>
  <c r="Y2" i="6"/>
  <c r="AO2" i="6"/>
  <c r="BF2" i="6"/>
  <c r="BW2" i="6"/>
  <c r="CM2" i="6"/>
  <c r="DF2" i="6"/>
  <c r="DV2" i="6"/>
  <c r="EM2" i="6"/>
  <c r="FE2" i="6"/>
  <c r="N3" i="6"/>
  <c r="AF3" i="6"/>
  <c r="AV3" i="6"/>
  <c r="BN3" i="6"/>
  <c r="CE3" i="6"/>
  <c r="CU3" i="6"/>
  <c r="DN3" i="6"/>
  <c r="EI3" i="6"/>
  <c r="FD3" i="6"/>
  <c r="S4" i="6"/>
  <c r="AN4" i="6"/>
  <c r="BO4" i="6"/>
  <c r="CQ4" i="6"/>
  <c r="DU4" i="6"/>
  <c r="EV4" i="6"/>
  <c r="AD1" i="7"/>
  <c r="CP1" i="7"/>
  <c r="FB1" i="7"/>
  <c r="BG2" i="7"/>
  <c r="DS2" i="7"/>
  <c r="X3" i="7"/>
  <c r="CJ3" i="7"/>
  <c r="EV3" i="7"/>
  <c r="BA4" i="7"/>
  <c r="DM4" i="7"/>
  <c r="FN2" i="7"/>
  <c r="FP4" i="7"/>
  <c r="R1" i="6"/>
  <c r="AG1" i="6"/>
  <c r="AT1" i="6"/>
  <c r="BX1" i="6"/>
  <c r="CK1" i="6"/>
  <c r="CZ1" i="6"/>
  <c r="DN1" i="6"/>
  <c r="EB1" i="6"/>
  <c r="EP1" i="6"/>
  <c r="FE1" i="6"/>
  <c r="K2" i="6"/>
  <c r="AA2" i="6"/>
  <c r="AT2" i="6"/>
  <c r="BJ2" i="6"/>
  <c r="CA2" i="6"/>
  <c r="CS2" i="6"/>
  <c r="DI2" i="6"/>
  <c r="EA2" i="6"/>
  <c r="EQ2" i="6"/>
  <c r="FI2" i="6"/>
  <c r="S3" i="6"/>
  <c r="AI3" i="6"/>
  <c r="BR3" i="6"/>
  <c r="CI3" i="6"/>
  <c r="CZ3" i="6"/>
  <c r="DS3" i="6"/>
  <c r="EN3" i="6"/>
  <c r="FJ3" i="6"/>
  <c r="X4" i="6"/>
  <c r="AS4" i="6"/>
  <c r="BU4" i="6"/>
  <c r="CZ4" i="6"/>
  <c r="EA4" i="6"/>
  <c r="FC4" i="6"/>
  <c r="AT1" i="7"/>
  <c r="DF1" i="7"/>
  <c r="K2" i="7"/>
  <c r="BW2" i="7"/>
  <c r="EI2" i="7"/>
  <c r="AN3" i="7"/>
  <c r="CZ3" i="7"/>
  <c r="E4" i="7"/>
  <c r="BQ4" i="7"/>
  <c r="EC4" i="7"/>
  <c r="FN1" i="7"/>
  <c r="FP2" i="7"/>
  <c r="BI1" i="6"/>
  <c r="BB3" i="6"/>
  <c r="K23" i="4"/>
  <c r="Q23" i="4" s="1"/>
  <c r="F1" i="6"/>
  <c r="T1" i="6"/>
  <c r="AH1" i="6"/>
  <c r="AW1" i="6"/>
  <c r="BJ1" i="6"/>
  <c r="BY1" i="6"/>
  <c r="CN1" i="6"/>
  <c r="DA1" i="6"/>
  <c r="DP1" i="6"/>
  <c r="ED1" i="6"/>
  <c r="ER1" i="6"/>
  <c r="FF1" i="6"/>
  <c r="N2" i="6"/>
  <c r="AD2" i="6"/>
  <c r="AU2" i="6"/>
  <c r="BM2" i="6"/>
  <c r="CC2" i="6"/>
  <c r="CU2" i="6"/>
  <c r="DK2" i="6"/>
  <c r="EC2" i="6"/>
  <c r="ET2" i="6"/>
  <c r="FJ2" i="6"/>
  <c r="V3" i="6"/>
  <c r="AL3" i="6"/>
  <c r="BC3" i="6"/>
  <c r="BT3" i="6"/>
  <c r="CJ3" i="6"/>
  <c r="DC3" i="6"/>
  <c r="DV3" i="6"/>
  <c r="EQ3" i="6"/>
  <c r="E4" i="6"/>
  <c r="AA4" i="6"/>
  <c r="AY4" i="6"/>
  <c r="BY4" i="6"/>
  <c r="DA4" i="6"/>
  <c r="EF4" i="6"/>
  <c r="BB1" i="7"/>
  <c r="DN1" i="7"/>
  <c r="S2" i="7"/>
  <c r="CE2" i="7"/>
  <c r="EQ2" i="7"/>
  <c r="AV3" i="7"/>
  <c r="DH3" i="7"/>
  <c r="M4" i="7"/>
  <c r="BY4" i="7"/>
  <c r="EK4" i="7"/>
  <c r="FO1" i="7"/>
  <c r="FQ2" i="7"/>
  <c r="Q14" i="4"/>
  <c r="K3" i="4"/>
  <c r="Q3" i="4" s="1"/>
  <c r="K25" i="4"/>
  <c r="Q25" i="4" s="1"/>
  <c r="N12" i="3"/>
  <c r="K6" i="4"/>
  <c r="Q6" i="4" s="1"/>
  <c r="K9" i="4"/>
  <c r="Q9" i="4" s="1"/>
  <c r="K12" i="4"/>
  <c r="Q12" i="4" s="1"/>
  <c r="K15" i="4"/>
  <c r="Q15" i="4" s="1"/>
  <c r="K22" i="4"/>
  <c r="Q22" i="4" s="1"/>
  <c r="N6" i="3"/>
  <c r="Q18" i="4"/>
  <c r="Q21" i="4"/>
  <c r="K26" i="4"/>
  <c r="Q26" i="4" s="1"/>
  <c r="N3" i="3"/>
  <c r="K7" i="4"/>
  <c r="Q7" i="4" s="1"/>
  <c r="Q10" i="4"/>
  <c r="N11" i="3"/>
  <c r="FH4" i="6"/>
  <c r="FD4" i="6"/>
  <c r="FG4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FI3" i="6"/>
  <c r="FA3" i="6"/>
  <c r="ES3" i="6"/>
  <c r="EK3" i="6"/>
  <c r="EC3" i="6"/>
  <c r="DU3" i="6"/>
  <c r="DM3" i="6"/>
  <c r="DE3" i="6"/>
  <c r="CW3" i="6"/>
  <c r="CO3" i="6"/>
  <c r="CG3" i="6"/>
  <c r="BY3" i="6"/>
  <c r="BQ3" i="6"/>
  <c r="BI3" i="6"/>
  <c r="BA3" i="6"/>
  <c r="AS3" i="6"/>
  <c r="AK3" i="6"/>
  <c r="AC3" i="6"/>
  <c r="U3" i="6"/>
  <c r="M3" i="6"/>
  <c r="E3" i="6"/>
  <c r="FD2" i="6"/>
  <c r="EV2" i="6"/>
  <c r="EN2" i="6"/>
  <c r="EF2" i="6"/>
  <c r="DX2" i="6"/>
  <c r="DP2" i="6"/>
  <c r="DH2" i="6"/>
  <c r="CZ2" i="6"/>
  <c r="CR2" i="6"/>
  <c r="CJ2" i="6"/>
  <c r="CB2" i="6"/>
  <c r="BT2" i="6"/>
  <c r="BL2" i="6"/>
  <c r="BD2" i="6"/>
  <c r="AV2" i="6"/>
  <c r="AN2" i="6"/>
  <c r="AF2" i="6"/>
  <c r="X2" i="6"/>
  <c r="P2" i="6"/>
  <c r="H2" i="6"/>
  <c r="FG1" i="6"/>
  <c r="EY1" i="6"/>
  <c r="EQ1" i="6"/>
  <c r="EI1" i="6"/>
  <c r="EA1" i="6"/>
  <c r="DS1" i="6"/>
  <c r="DK1" i="6"/>
  <c r="DC1" i="6"/>
  <c r="CU1" i="6"/>
  <c r="CM1" i="6"/>
  <c r="CE1" i="6"/>
  <c r="BW1" i="6"/>
  <c r="BO1" i="6"/>
  <c r="BG1" i="6"/>
  <c r="AY1" i="6"/>
  <c r="AQ1" i="6"/>
  <c r="AI1" i="6"/>
  <c r="AA1" i="6"/>
  <c r="S1" i="6"/>
  <c r="K1" i="6"/>
  <c r="FB4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FE3" i="6"/>
  <c r="EW3" i="6"/>
  <c r="EO3" i="6"/>
  <c r="EG3" i="6"/>
  <c r="DY3" i="6"/>
  <c r="DQ3" i="6"/>
  <c r="DI3" i="6"/>
  <c r="DA3" i="6"/>
  <c r="CS3" i="6"/>
  <c r="CK3" i="6"/>
  <c r="CC3" i="6"/>
  <c r="BU3" i="6"/>
  <c r="BM3" i="6"/>
  <c r="BE3" i="6"/>
  <c r="AW3" i="6"/>
  <c r="AO3" i="6"/>
  <c r="AG3" i="6"/>
  <c r="Y3" i="6"/>
  <c r="Q3" i="6"/>
  <c r="I3" i="6"/>
  <c r="FH2" i="6"/>
  <c r="EZ2" i="6"/>
  <c r="ER2" i="6"/>
  <c r="EJ2" i="6"/>
  <c r="EB2" i="6"/>
  <c r="DT2" i="6"/>
  <c r="DL2" i="6"/>
  <c r="DD2" i="6"/>
  <c r="CV2" i="6"/>
  <c r="CN2" i="6"/>
  <c r="CF2" i="6"/>
  <c r="BX2" i="6"/>
  <c r="BP2" i="6"/>
  <c r="BH2" i="6"/>
  <c r="AZ2" i="6"/>
  <c r="AR2" i="6"/>
  <c r="AJ2" i="6"/>
  <c r="AB2" i="6"/>
  <c r="T2" i="6"/>
  <c r="L2" i="6"/>
  <c r="FK1" i="6"/>
  <c r="FC1" i="6"/>
  <c r="EU1" i="6"/>
  <c r="EM1" i="6"/>
  <c r="EE1" i="6"/>
  <c r="DW1" i="6"/>
  <c r="DO1" i="6"/>
  <c r="DG1" i="6"/>
  <c r="CY1" i="6"/>
  <c r="CQ1" i="6"/>
  <c r="CI1" i="6"/>
  <c r="CA1" i="6"/>
  <c r="BS1" i="6"/>
  <c r="BK1" i="6"/>
  <c r="BC1" i="6"/>
  <c r="AU1" i="6"/>
  <c r="AM1" i="6"/>
  <c r="AE1" i="6"/>
  <c r="W1" i="6"/>
  <c r="O1" i="6"/>
  <c r="G1" i="6"/>
  <c r="P1" i="6"/>
  <c r="Z1" i="6"/>
  <c r="AK1" i="6"/>
  <c r="AV1" i="6"/>
  <c r="BF1" i="6"/>
  <c r="BQ1" i="6"/>
  <c r="CB1" i="6"/>
  <c r="CL1" i="6"/>
  <c r="CW1" i="6"/>
  <c r="DH1" i="6"/>
  <c r="DR1" i="6"/>
  <c r="EC1" i="6"/>
  <c r="EN1" i="6"/>
  <c r="EX1" i="6"/>
  <c r="FI1" i="6"/>
  <c r="M2" i="6"/>
  <c r="W2" i="6"/>
  <c r="AH2" i="6"/>
  <c r="AS2" i="6"/>
  <c r="BC2" i="6"/>
  <c r="BN2" i="6"/>
  <c r="BY2" i="6"/>
  <c r="CI2" i="6"/>
  <c r="CT2" i="6"/>
  <c r="DE2" i="6"/>
  <c r="DO2" i="6"/>
  <c r="DZ2" i="6"/>
  <c r="EK2" i="6"/>
  <c r="EU2" i="6"/>
  <c r="FF2" i="6"/>
  <c r="J3" i="6"/>
  <c r="T3" i="6"/>
  <c r="AE3" i="6"/>
  <c r="AP3" i="6"/>
  <c r="AZ3" i="6"/>
  <c r="BK3" i="6"/>
  <c r="BV3" i="6"/>
  <c r="CF3" i="6"/>
  <c r="CQ3" i="6"/>
  <c r="DB3" i="6"/>
  <c r="DL3" i="6"/>
  <c r="DW3" i="6"/>
  <c r="EH3" i="6"/>
  <c r="ER3" i="6"/>
  <c r="FC3" i="6"/>
  <c r="G4" i="6"/>
  <c r="Q4" i="6"/>
  <c r="AB4" i="6"/>
  <c r="AM4" i="6"/>
  <c r="AW4" i="6"/>
  <c r="BH4" i="6"/>
  <c r="BS4" i="6"/>
  <c r="CC4" i="6"/>
  <c r="CN4" i="6"/>
  <c r="CY4" i="6"/>
  <c r="DI4" i="6"/>
  <c r="DT4" i="6"/>
  <c r="EE4" i="6"/>
  <c r="EO4" i="6"/>
  <c r="EZ4" i="6"/>
  <c r="DP3" i="6"/>
  <c r="EV3" i="6"/>
  <c r="AF4" i="6"/>
  <c r="CG4" i="6"/>
  <c r="EI4" i="6"/>
  <c r="EA3" i="6"/>
  <c r="EL3" i="6"/>
  <c r="FG3" i="6"/>
  <c r="K4" i="6"/>
  <c r="U4" i="6"/>
  <c r="AQ4" i="6"/>
  <c r="BA4" i="6"/>
  <c r="BL4" i="6"/>
  <c r="BW4" i="6"/>
  <c r="CR4" i="6"/>
  <c r="DC4" i="6"/>
  <c r="DM4" i="6"/>
  <c r="DX4" i="6"/>
  <c r="ES4" i="6"/>
  <c r="FE4" i="6"/>
  <c r="J1" i="6"/>
  <c r="U1" i="6"/>
  <c r="AF1" i="6"/>
  <c r="AP1" i="6"/>
  <c r="BA1" i="6"/>
  <c r="BL1" i="6"/>
  <c r="BV1" i="6"/>
  <c r="CG1" i="6"/>
  <c r="CR1" i="6"/>
  <c r="DB1" i="6"/>
  <c r="DM1" i="6"/>
  <c r="DX1" i="6"/>
  <c r="EH1" i="6"/>
  <c r="ES1" i="6"/>
  <c r="FD1" i="6"/>
  <c r="G2" i="6"/>
  <c r="R2" i="6"/>
  <c r="AC2" i="6"/>
  <c r="AM2" i="6"/>
  <c r="AX2" i="6"/>
  <c r="BI2" i="6"/>
  <c r="BS2" i="6"/>
  <c r="CD2" i="6"/>
  <c r="CO2" i="6"/>
  <c r="CY2" i="6"/>
  <c r="DJ2" i="6"/>
  <c r="DU2" i="6"/>
  <c r="EE2" i="6"/>
  <c r="EP2" i="6"/>
  <c r="FA2" i="6"/>
  <c r="FK2" i="6"/>
  <c r="O3" i="6"/>
  <c r="Z3" i="6"/>
  <c r="AJ3" i="6"/>
  <c r="AU3" i="6"/>
  <c r="BF3" i="6"/>
  <c r="BP3" i="6"/>
  <c r="CA3" i="6"/>
  <c r="CL3" i="6"/>
  <c r="CV3" i="6"/>
  <c r="DG3" i="6"/>
  <c r="DR3" i="6"/>
  <c r="EB3" i="6"/>
  <c r="EM3" i="6"/>
  <c r="EX3" i="6"/>
  <c r="FH3" i="6"/>
  <c r="L4" i="6"/>
  <c r="W4" i="6"/>
  <c r="AG4" i="6"/>
  <c r="AR4" i="6"/>
  <c r="BC4" i="6"/>
  <c r="BM4" i="6"/>
  <c r="BX4" i="6"/>
  <c r="CI4" i="6"/>
  <c r="CS4" i="6"/>
  <c r="DD4" i="6"/>
  <c r="DO4" i="6"/>
  <c r="DY4" i="6"/>
  <c r="EJ4" i="6"/>
  <c r="EU4" i="6"/>
  <c r="FF4" i="6"/>
  <c r="U2" i="6"/>
  <c r="AE2" i="6"/>
  <c r="AP2" i="6"/>
  <c r="BA2" i="6"/>
  <c r="BK2" i="6"/>
  <c r="BV2" i="6"/>
  <c r="CG2" i="6"/>
  <c r="CQ2" i="6"/>
  <c r="DB2" i="6"/>
  <c r="DM2" i="6"/>
  <c r="DW2" i="6"/>
  <c r="EH2" i="6"/>
  <c r="ES2" i="6"/>
  <c r="FC2" i="6"/>
  <c r="G3" i="6"/>
  <c r="R3" i="6"/>
  <c r="AB3" i="6"/>
  <c r="AM3" i="6"/>
  <c r="AX3" i="6"/>
  <c r="BH3" i="6"/>
  <c r="BS3" i="6"/>
  <c r="CD3" i="6"/>
  <c r="CN3" i="6"/>
  <c r="CY3" i="6"/>
  <c r="DJ3" i="6"/>
  <c r="DT3" i="6"/>
  <c r="EE3" i="6"/>
  <c r="EP3" i="6"/>
  <c r="EZ3" i="6"/>
  <c r="FK3" i="6"/>
  <c r="O4" i="6"/>
  <c r="Y4" i="6"/>
  <c r="AJ4" i="6"/>
  <c r="AU4" i="6"/>
  <c r="BE4" i="6"/>
  <c r="BP4" i="6"/>
  <c r="CA4" i="6"/>
  <c r="CK4" i="6"/>
  <c r="CV4" i="6"/>
  <c r="DG4" i="6"/>
  <c r="DQ4" i="6"/>
  <c r="EB4" i="6"/>
  <c r="EM4" i="6"/>
  <c r="EW4" i="6"/>
  <c r="FJ4" i="6"/>
  <c r="AV4" i="6"/>
  <c r="BG4" i="6"/>
  <c r="BQ4" i="6"/>
  <c r="CB4" i="6"/>
  <c r="CM4" i="6"/>
  <c r="CW4" i="6"/>
  <c r="DH4" i="6"/>
  <c r="DS4" i="6"/>
  <c r="EC4" i="6"/>
  <c r="EN4" i="6"/>
  <c r="EY4" i="6"/>
  <c r="FK4" i="6"/>
  <c r="I1" i="7"/>
  <c r="Q1" i="7"/>
  <c r="Y1" i="7"/>
  <c r="AG1" i="7"/>
  <c r="AO1" i="7"/>
  <c r="AW1" i="7"/>
  <c r="BE1" i="7"/>
  <c r="BM1" i="7"/>
  <c r="BU1" i="7"/>
  <c r="CC1" i="7"/>
  <c r="CK1" i="7"/>
  <c r="CS1" i="7"/>
  <c r="DA1" i="7"/>
  <c r="DI1" i="7"/>
  <c r="DQ1" i="7"/>
  <c r="DY1" i="7"/>
  <c r="EG1" i="7"/>
  <c r="EO1" i="7"/>
  <c r="EW1" i="7"/>
  <c r="FE1" i="7"/>
  <c r="F2" i="7"/>
  <c r="N2" i="7"/>
  <c r="V2" i="7"/>
  <c r="AD2" i="7"/>
  <c r="AL2" i="7"/>
  <c r="AT2" i="7"/>
  <c r="BB2" i="7"/>
  <c r="BJ2" i="7"/>
  <c r="BR2" i="7"/>
  <c r="BZ2" i="7"/>
  <c r="CH2" i="7"/>
  <c r="CP2" i="7"/>
  <c r="CX2" i="7"/>
  <c r="DF2" i="7"/>
  <c r="DN2" i="7"/>
  <c r="DV2" i="7"/>
  <c r="ED2" i="7"/>
  <c r="EL2" i="7"/>
  <c r="ET2" i="7"/>
  <c r="FB2" i="7"/>
  <c r="FJ2" i="7"/>
  <c r="K3" i="7"/>
  <c r="S3" i="7"/>
  <c r="AA3" i="7"/>
  <c r="AI3" i="7"/>
  <c r="AQ3" i="7"/>
  <c r="AY3" i="7"/>
  <c r="BG3" i="7"/>
  <c r="BO3" i="7"/>
  <c r="BW3" i="7"/>
  <c r="CE3" i="7"/>
  <c r="CM3" i="7"/>
  <c r="CU3" i="7"/>
  <c r="DC3" i="7"/>
  <c r="DK3" i="7"/>
  <c r="DS3" i="7"/>
  <c r="EA3" i="7"/>
  <c r="EI3" i="7"/>
  <c r="EQ3" i="7"/>
  <c r="EY3" i="7"/>
  <c r="FG3" i="7"/>
  <c r="H4" i="7"/>
  <c r="P4" i="7"/>
  <c r="X4" i="7"/>
  <c r="AF4" i="7"/>
  <c r="AN4" i="7"/>
  <c r="AV4" i="7"/>
  <c r="BD4" i="7"/>
  <c r="BL4" i="7"/>
  <c r="BT4" i="7"/>
  <c r="CB4" i="7"/>
  <c r="CJ4" i="7"/>
  <c r="CR4" i="7"/>
  <c r="CZ4" i="7"/>
  <c r="DH4" i="7"/>
  <c r="DP4" i="7"/>
  <c r="DX4" i="7"/>
  <c r="EF4" i="7"/>
  <c r="EN4" i="7"/>
  <c r="EV4" i="7"/>
  <c r="FD4" i="7"/>
  <c r="FM3" i="7"/>
  <c r="FN4" i="7"/>
  <c r="J1" i="7"/>
  <c r="R1" i="7"/>
  <c r="Z1" i="7"/>
  <c r="AH1" i="7"/>
  <c r="AP1" i="7"/>
  <c r="AX1" i="7"/>
  <c r="BF1" i="7"/>
  <c r="BN1" i="7"/>
  <c r="BV1" i="7"/>
  <c r="CD1" i="7"/>
  <c r="CL1" i="7"/>
  <c r="CT1" i="7"/>
  <c r="DB1" i="7"/>
  <c r="DJ1" i="7"/>
  <c r="DR1" i="7"/>
  <c r="DZ1" i="7"/>
  <c r="EH1" i="7"/>
  <c r="EP1" i="7"/>
  <c r="EX1" i="7"/>
  <c r="FF1" i="7"/>
  <c r="G2" i="7"/>
  <c r="O2" i="7"/>
  <c r="W2" i="7"/>
  <c r="AE2" i="7"/>
  <c r="AM2" i="7"/>
  <c r="AU2" i="7"/>
  <c r="BC2" i="7"/>
  <c r="BK2" i="7"/>
  <c r="BS2" i="7"/>
  <c r="CA2" i="7"/>
  <c r="CI2" i="7"/>
  <c r="CQ2" i="7"/>
  <c r="CY2" i="7"/>
  <c r="DG2" i="7"/>
  <c r="DO2" i="7"/>
  <c r="DW2" i="7"/>
  <c r="EE2" i="7"/>
  <c r="EM2" i="7"/>
  <c r="EU2" i="7"/>
  <c r="FC2" i="7"/>
  <c r="FK2" i="7"/>
  <c r="L3" i="7"/>
  <c r="T3" i="7"/>
  <c r="AB3" i="7"/>
  <c r="AJ3" i="7"/>
  <c r="AR3" i="7"/>
  <c r="AZ3" i="7"/>
  <c r="BH3" i="7"/>
  <c r="BP3" i="7"/>
  <c r="BX3" i="7"/>
  <c r="CF3" i="7"/>
  <c r="CN3" i="7"/>
  <c r="CV3" i="7"/>
  <c r="DD3" i="7"/>
  <c r="DL3" i="7"/>
  <c r="DT3" i="7"/>
  <c r="EB3" i="7"/>
  <c r="EJ3" i="7"/>
  <c r="ER3" i="7"/>
  <c r="EZ3" i="7"/>
  <c r="FH3" i="7"/>
  <c r="I4" i="7"/>
  <c r="Q4" i="7"/>
  <c r="Y4" i="7"/>
  <c r="AG4" i="7"/>
  <c r="AO4" i="7"/>
  <c r="AW4" i="7"/>
  <c r="BE4" i="7"/>
  <c r="BM4" i="7"/>
  <c r="BU4" i="7"/>
  <c r="CC4" i="7"/>
  <c r="CK4" i="7"/>
  <c r="CS4" i="7"/>
  <c r="DA4" i="7"/>
  <c r="DI4" i="7"/>
  <c r="DQ4" i="7"/>
  <c r="DY4" i="7"/>
  <c r="EG4" i="7"/>
  <c r="EO4" i="7"/>
  <c r="EW4" i="7"/>
  <c r="FE4" i="7"/>
  <c r="FM2" i="7"/>
  <c r="FN3" i="7"/>
  <c r="FO4" i="7"/>
  <c r="K1" i="7"/>
  <c r="S1" i="7"/>
  <c r="AA1" i="7"/>
  <c r="AI1" i="7"/>
  <c r="AQ1" i="7"/>
  <c r="AY1" i="7"/>
  <c r="BG1" i="7"/>
  <c r="BO1" i="7"/>
  <c r="BW1" i="7"/>
  <c r="CE1" i="7"/>
  <c r="CM1" i="7"/>
  <c r="CU1" i="7"/>
  <c r="DC1" i="7"/>
  <c r="DK1" i="7"/>
  <c r="DS1" i="7"/>
  <c r="EA1" i="7"/>
  <c r="EI1" i="7"/>
  <c r="EQ1" i="7"/>
  <c r="EY1" i="7"/>
  <c r="FG1" i="7"/>
  <c r="H2" i="7"/>
  <c r="P2" i="7"/>
  <c r="X2" i="7"/>
  <c r="AF2" i="7"/>
  <c r="AN2" i="7"/>
  <c r="AV2" i="7"/>
  <c r="BD2" i="7"/>
  <c r="BL2" i="7"/>
  <c r="BT2" i="7"/>
  <c r="CB2" i="7"/>
  <c r="CJ2" i="7"/>
  <c r="CR2" i="7"/>
  <c r="CZ2" i="7"/>
  <c r="DH2" i="7"/>
  <c r="DP2" i="7"/>
  <c r="DX2" i="7"/>
  <c r="EF2" i="7"/>
  <c r="EN2" i="7"/>
  <c r="EV2" i="7"/>
  <c r="FD2" i="7"/>
  <c r="E3" i="7"/>
  <c r="M3" i="7"/>
  <c r="U3" i="7"/>
  <c r="AC3" i="7"/>
  <c r="AK3" i="7"/>
  <c r="AS3" i="7"/>
  <c r="BA3" i="7"/>
  <c r="BI3" i="7"/>
  <c r="BQ3" i="7"/>
  <c r="BY3" i="7"/>
  <c r="CG3" i="7"/>
  <c r="CO3" i="7"/>
  <c r="CW3" i="7"/>
  <c r="DE3" i="7"/>
  <c r="DM3" i="7"/>
  <c r="DU3" i="7"/>
  <c r="EC3" i="7"/>
  <c r="EK3" i="7"/>
  <c r="ES3" i="7"/>
  <c r="FA3" i="7"/>
  <c r="FI3" i="7"/>
  <c r="J4" i="7"/>
  <c r="R4" i="7"/>
  <c r="Z4" i="7"/>
  <c r="AH4" i="7"/>
  <c r="AP4" i="7"/>
  <c r="AX4" i="7"/>
  <c r="BF4" i="7"/>
  <c r="BN4" i="7"/>
  <c r="BV4" i="7"/>
  <c r="CD4" i="7"/>
  <c r="CL4" i="7"/>
  <c r="CT4" i="7"/>
  <c r="DB4" i="7"/>
  <c r="DJ4" i="7"/>
  <c r="DR4" i="7"/>
  <c r="DZ4" i="7"/>
  <c r="EH4" i="7"/>
  <c r="EP4" i="7"/>
  <c r="EX4" i="7"/>
  <c r="FF4" i="7"/>
  <c r="E1" i="7"/>
  <c r="L1" i="7"/>
  <c r="T1" i="7"/>
  <c r="AB1" i="7"/>
  <c r="AJ1" i="7"/>
  <c r="AR1" i="7"/>
  <c r="AZ1" i="7"/>
  <c r="BH1" i="7"/>
  <c r="BP1" i="7"/>
  <c r="BX1" i="7"/>
  <c r="CF1" i="7"/>
  <c r="CN1" i="7"/>
  <c r="CV1" i="7"/>
  <c r="DD1" i="7"/>
  <c r="DL1" i="7"/>
  <c r="DT1" i="7"/>
  <c r="EB1" i="7"/>
  <c r="EJ1" i="7"/>
  <c r="ER1" i="7"/>
  <c r="EZ1" i="7"/>
  <c r="FH1" i="7"/>
  <c r="I2" i="7"/>
  <c r="Q2" i="7"/>
  <c r="Y2" i="7"/>
  <c r="AG2" i="7"/>
  <c r="AO2" i="7"/>
  <c r="AW2" i="7"/>
  <c r="BE2" i="7"/>
  <c r="BM2" i="7"/>
  <c r="BU2" i="7"/>
  <c r="CC2" i="7"/>
  <c r="CK2" i="7"/>
  <c r="CS2" i="7"/>
  <c r="DA2" i="7"/>
  <c r="DI2" i="7"/>
  <c r="DQ2" i="7"/>
  <c r="DY2" i="7"/>
  <c r="EG2" i="7"/>
  <c r="EO2" i="7"/>
  <c r="EW2" i="7"/>
  <c r="FE2" i="7"/>
  <c r="F3" i="7"/>
  <c r="N3" i="7"/>
  <c r="V3" i="7"/>
  <c r="AD3" i="7"/>
  <c r="AL3" i="7"/>
  <c r="AT3" i="7"/>
  <c r="BB3" i="7"/>
  <c r="BJ3" i="7"/>
  <c r="BR3" i="7"/>
  <c r="BZ3" i="7"/>
  <c r="CH3" i="7"/>
  <c r="CP3" i="7"/>
  <c r="CX3" i="7"/>
  <c r="DF3" i="7"/>
  <c r="DN3" i="7"/>
  <c r="DV3" i="7"/>
  <c r="ED3" i="7"/>
  <c r="EL3" i="7"/>
  <c r="ET3" i="7"/>
  <c r="FB3" i="7"/>
  <c r="FJ3" i="7"/>
  <c r="K4" i="7"/>
  <c r="S4" i="7"/>
  <c r="AA4" i="7"/>
  <c r="AI4" i="7"/>
  <c r="AQ4" i="7"/>
  <c r="AY4" i="7"/>
  <c r="BG4" i="7"/>
  <c r="BO4" i="7"/>
  <c r="BW4" i="7"/>
  <c r="CE4" i="7"/>
  <c r="CM4" i="7"/>
  <c r="CU4" i="7"/>
  <c r="DC4" i="7"/>
  <c r="DK4" i="7"/>
  <c r="DS4" i="7"/>
  <c r="EA4" i="7"/>
  <c r="EI4" i="7"/>
  <c r="EQ4" i="7"/>
  <c r="EY4" i="7"/>
  <c r="FG4" i="7"/>
  <c r="FP3" i="7"/>
  <c r="FQ4" i="7"/>
  <c r="M1" i="7"/>
  <c r="U1" i="7"/>
  <c r="AC1" i="7"/>
  <c r="AK1" i="7"/>
  <c r="AS1" i="7"/>
  <c r="BA1" i="7"/>
  <c r="BI1" i="7"/>
  <c r="BQ1" i="7"/>
  <c r="BY1" i="7"/>
  <c r="CG1" i="7"/>
  <c r="CO1" i="7"/>
  <c r="CW1" i="7"/>
  <c r="DE1" i="7"/>
  <c r="DM1" i="7"/>
  <c r="DU1" i="7"/>
  <c r="EC1" i="7"/>
  <c r="EK1" i="7"/>
  <c r="ES1" i="7"/>
  <c r="FA1" i="7"/>
  <c r="FI1" i="7"/>
  <c r="J2" i="7"/>
  <c r="R2" i="7"/>
  <c r="Z2" i="7"/>
  <c r="AH2" i="7"/>
  <c r="AP2" i="7"/>
  <c r="AX2" i="7"/>
  <c r="BF2" i="7"/>
  <c r="BN2" i="7"/>
  <c r="BV2" i="7"/>
  <c r="CD2" i="7"/>
  <c r="CL2" i="7"/>
  <c r="CT2" i="7"/>
  <c r="DB2" i="7"/>
  <c r="DJ2" i="7"/>
  <c r="DR2" i="7"/>
  <c r="DZ2" i="7"/>
  <c r="EH2" i="7"/>
  <c r="EP2" i="7"/>
  <c r="EX2" i="7"/>
  <c r="FF2" i="7"/>
  <c r="G3" i="7"/>
  <c r="O3" i="7"/>
  <c r="W3" i="7"/>
  <c r="AE3" i="7"/>
  <c r="AM3" i="7"/>
  <c r="AU3" i="7"/>
  <c r="BC3" i="7"/>
  <c r="BK3" i="7"/>
  <c r="BS3" i="7"/>
  <c r="CA3" i="7"/>
  <c r="CI3" i="7"/>
  <c r="CQ3" i="7"/>
  <c r="CY3" i="7"/>
  <c r="DG3" i="7"/>
  <c r="DO3" i="7"/>
  <c r="DW3" i="7"/>
  <c r="EE3" i="7"/>
  <c r="EM3" i="7"/>
  <c r="EU3" i="7"/>
  <c r="FC3" i="7"/>
  <c r="FK3" i="7"/>
  <c r="L4" i="7"/>
  <c r="T4" i="7"/>
  <c r="AB4" i="7"/>
  <c r="AJ4" i="7"/>
  <c r="AR4" i="7"/>
  <c r="AZ4" i="7"/>
  <c r="BH4" i="7"/>
  <c r="BP4" i="7"/>
  <c r="BX4" i="7"/>
  <c r="CF4" i="7"/>
  <c r="CN4" i="7"/>
  <c r="CV4" i="7"/>
  <c r="DD4" i="7"/>
  <c r="DL4" i="7"/>
  <c r="DT4" i="7"/>
  <c r="EB4" i="7"/>
  <c r="EJ4" i="7"/>
  <c r="ER4" i="7"/>
  <c r="EZ4" i="7"/>
  <c r="FH4" i="7"/>
  <c r="FQ3" i="7"/>
  <c r="FR4" i="7"/>
  <c r="G1" i="7"/>
  <c r="O1" i="7"/>
  <c r="W1" i="7"/>
  <c r="AE1" i="7"/>
  <c r="AM1" i="7"/>
  <c r="AU1" i="7"/>
  <c r="BC1" i="7"/>
  <c r="BK1" i="7"/>
  <c r="BS1" i="7"/>
  <c r="CA1" i="7"/>
  <c r="CI1" i="7"/>
  <c r="CQ1" i="7"/>
  <c r="CY1" i="7"/>
  <c r="DG1" i="7"/>
  <c r="DO1" i="7"/>
  <c r="DW1" i="7"/>
  <c r="EE1" i="7"/>
  <c r="EM1" i="7"/>
  <c r="EU1" i="7"/>
  <c r="FC1" i="7"/>
  <c r="FK1" i="7"/>
  <c r="L2" i="7"/>
  <c r="T2" i="7"/>
  <c r="AB2" i="7"/>
  <c r="AJ2" i="7"/>
  <c r="AR2" i="7"/>
  <c r="AZ2" i="7"/>
  <c r="BH2" i="7"/>
  <c r="BP2" i="7"/>
  <c r="BX2" i="7"/>
  <c r="CF2" i="7"/>
  <c r="CN2" i="7"/>
  <c r="CV2" i="7"/>
  <c r="DD2" i="7"/>
  <c r="DL2" i="7"/>
  <c r="DT2" i="7"/>
  <c r="EB2" i="7"/>
  <c r="EJ2" i="7"/>
  <c r="ER2" i="7"/>
  <c r="EZ2" i="7"/>
  <c r="FH2" i="7"/>
  <c r="I3" i="7"/>
  <c r="Q3" i="7"/>
  <c r="Y3" i="7"/>
  <c r="AG3" i="7"/>
  <c r="AO3" i="7"/>
  <c r="AW3" i="7"/>
  <c r="BE3" i="7"/>
  <c r="BM3" i="7"/>
  <c r="BU3" i="7"/>
  <c r="CC3" i="7"/>
  <c r="CK3" i="7"/>
  <c r="CS3" i="7"/>
  <c r="DA3" i="7"/>
  <c r="DI3" i="7"/>
  <c r="DQ3" i="7"/>
  <c r="DY3" i="7"/>
  <c r="EG3" i="7"/>
  <c r="EO3" i="7"/>
  <c r="EW3" i="7"/>
  <c r="FE3" i="7"/>
  <c r="F4" i="7"/>
  <c r="N4" i="7"/>
  <c r="V4" i="7"/>
  <c r="AD4" i="7"/>
  <c r="AL4" i="7"/>
  <c r="AT4" i="7"/>
  <c r="BB4" i="7"/>
  <c r="BJ4" i="7"/>
  <c r="BR4" i="7"/>
  <c r="BZ4" i="7"/>
  <c r="CH4" i="7"/>
  <c r="CP4" i="7"/>
  <c r="CX4" i="7"/>
  <c r="DF4" i="7"/>
  <c r="DN4" i="7"/>
  <c r="DV4" i="7"/>
  <c r="ED4" i="7"/>
  <c r="EL4" i="7"/>
  <c r="ET4" i="7"/>
  <c r="FB4" i="7"/>
  <c r="FJ4" i="7"/>
  <c r="H1" i="7"/>
  <c r="P1" i="7"/>
  <c r="X1" i="7"/>
  <c r="AF1" i="7"/>
  <c r="AN1" i="7"/>
  <c r="AV1" i="7"/>
  <c r="BD1" i="7"/>
  <c r="BL1" i="7"/>
  <c r="BT1" i="7"/>
  <c r="CB1" i="7"/>
  <c r="CJ1" i="7"/>
  <c r="CR1" i="7"/>
  <c r="CZ1" i="7"/>
  <c r="DH1" i="7"/>
  <c r="DP1" i="7"/>
  <c r="DX1" i="7"/>
  <c r="EF1" i="7"/>
  <c r="EN1" i="7"/>
  <c r="EV1" i="7"/>
  <c r="FD1" i="7"/>
  <c r="E2" i="7"/>
  <c r="M2" i="7"/>
  <c r="U2" i="7"/>
  <c r="AC2" i="7"/>
  <c r="AK2" i="7"/>
  <c r="AS2" i="7"/>
  <c r="BA2" i="7"/>
  <c r="BI2" i="7"/>
  <c r="BQ2" i="7"/>
  <c r="BY2" i="7"/>
  <c r="CG2" i="7"/>
  <c r="CO2" i="7"/>
  <c r="CW2" i="7"/>
  <c r="DE2" i="7"/>
  <c r="DM2" i="7"/>
  <c r="DU2" i="7"/>
  <c r="EC2" i="7"/>
  <c r="EK2" i="7"/>
  <c r="ES2" i="7"/>
  <c r="FA2" i="7"/>
  <c r="FI2" i="7"/>
  <c r="J3" i="7"/>
  <c r="R3" i="7"/>
  <c r="Z3" i="7"/>
  <c r="AH3" i="7"/>
  <c r="AP3" i="7"/>
  <c r="AX3" i="7"/>
  <c r="BF3" i="7"/>
  <c r="BN3" i="7"/>
  <c r="BV3" i="7"/>
  <c r="CD3" i="7"/>
  <c r="CL3" i="7"/>
  <c r="CT3" i="7"/>
  <c r="DB3" i="7"/>
  <c r="DJ3" i="7"/>
  <c r="DR3" i="7"/>
  <c r="DZ3" i="7"/>
  <c r="EH3" i="7"/>
  <c r="EP3" i="7"/>
  <c r="EX3" i="7"/>
  <c r="FF3" i="7"/>
  <c r="G4" i="7"/>
  <c r="O4" i="7"/>
  <c r="W4" i="7"/>
  <c r="AE4" i="7"/>
  <c r="AM4" i="7"/>
  <c r="AU4" i="7"/>
  <c r="BC4" i="7"/>
  <c r="BK4" i="7"/>
  <c r="BS4" i="7"/>
  <c r="CA4" i="7"/>
  <c r="CI4" i="7"/>
  <c r="CQ4" i="7"/>
  <c r="CY4" i="7"/>
  <c r="DG4" i="7"/>
  <c r="DO4" i="7"/>
  <c r="DW4" i="7"/>
  <c r="EE4" i="7"/>
  <c r="EM4" i="7"/>
  <c r="EU4" i="7"/>
  <c r="FC4" i="7"/>
  <c r="FL3" i="7"/>
</calcChain>
</file>

<file path=xl/sharedStrings.xml><?xml version="1.0" encoding="utf-8"?>
<sst xmlns="http://schemas.openxmlformats.org/spreadsheetml/2006/main" count="1896" uniqueCount="1301">
  <si>
    <t>Number</t>
  </si>
  <si>
    <t>Name</t>
  </si>
  <si>
    <t>CodeNr</t>
  </si>
  <si>
    <t>CodeTxt</t>
  </si>
  <si>
    <t>ConsumptionCategories</t>
  </si>
  <si>
    <t>TradeMargin</t>
  </si>
  <si>
    <t>TransportMargin</t>
  </si>
  <si>
    <t>Waste</t>
  </si>
  <si>
    <t>Paddy rice</t>
  </si>
  <si>
    <t>p01.a</t>
  </si>
  <si>
    <t>C_PARI</t>
  </si>
  <si>
    <t>Food</t>
  </si>
  <si>
    <t>Wheat</t>
  </si>
  <si>
    <t>p01.b</t>
  </si>
  <si>
    <t>C_WHEA</t>
  </si>
  <si>
    <t>Cereal grains nec</t>
  </si>
  <si>
    <t>p01.c</t>
  </si>
  <si>
    <t>C_OCER</t>
  </si>
  <si>
    <t>Vegetables, fruit, nuts</t>
  </si>
  <si>
    <t>p01.d</t>
  </si>
  <si>
    <t>C_FVEG</t>
  </si>
  <si>
    <t>Oil seeds</t>
  </si>
  <si>
    <t>p01.e</t>
  </si>
  <si>
    <t>C_OILS</t>
  </si>
  <si>
    <t>Sugar cane, sugar beet</t>
  </si>
  <si>
    <t>p01.f</t>
  </si>
  <si>
    <t>C_SUGB</t>
  </si>
  <si>
    <t>Plant-based fibers</t>
  </si>
  <si>
    <t>p01.g</t>
  </si>
  <si>
    <t>C_FIBR</t>
  </si>
  <si>
    <t>Crops nec</t>
  </si>
  <si>
    <t>p01.h</t>
  </si>
  <si>
    <t>C_OTCR</t>
  </si>
  <si>
    <t>Cattle</t>
  </si>
  <si>
    <t>p01.i</t>
  </si>
  <si>
    <t>C_CATL</t>
  </si>
  <si>
    <t>Pigs</t>
  </si>
  <si>
    <t>p01.j</t>
  </si>
  <si>
    <t>C_PIGS</t>
  </si>
  <si>
    <t>Poultry</t>
  </si>
  <si>
    <t>p01.k</t>
  </si>
  <si>
    <t>C_PLTR</t>
  </si>
  <si>
    <t>Meat animals nec</t>
  </si>
  <si>
    <t>p01.l</t>
  </si>
  <si>
    <t>C_OMEA</t>
  </si>
  <si>
    <t>Animal products nec</t>
  </si>
  <si>
    <t>p01.m</t>
  </si>
  <si>
    <t>C_OANP</t>
  </si>
  <si>
    <t>Raw milk</t>
  </si>
  <si>
    <t>p01.n</t>
  </si>
  <si>
    <t>C_MILK</t>
  </si>
  <si>
    <t>Wool, silk-worm cocoons</t>
  </si>
  <si>
    <t>p01.o</t>
  </si>
  <si>
    <t>C_WOOL</t>
  </si>
  <si>
    <t>Clothing</t>
  </si>
  <si>
    <t>Manure (conventional treatment)</t>
  </si>
  <si>
    <t>p01.w.1</t>
  </si>
  <si>
    <t>C_MANC</t>
  </si>
  <si>
    <t>Manure (biogas treatment)</t>
  </si>
  <si>
    <t>p01.w.2</t>
  </si>
  <si>
    <t>C_MANB</t>
  </si>
  <si>
    <t>Products of forestry, logging and related services (02)</t>
  </si>
  <si>
    <t>p02</t>
  </si>
  <si>
    <t>C_FORE</t>
  </si>
  <si>
    <t>Shelter</t>
  </si>
  <si>
    <t>Fish and other fishing products; services incidental of fishing (05)</t>
  </si>
  <si>
    <t>p05</t>
  </si>
  <si>
    <t>C_FISH</t>
  </si>
  <si>
    <t>Anthracite</t>
  </si>
  <si>
    <t>p10.a</t>
  </si>
  <si>
    <t>C_ANTH</t>
  </si>
  <si>
    <t>Coking Coal</t>
  </si>
  <si>
    <t>p10.b</t>
  </si>
  <si>
    <t>C_COKC</t>
  </si>
  <si>
    <t>Other Bituminous Coal</t>
  </si>
  <si>
    <t>p10.c</t>
  </si>
  <si>
    <t>C_OTBC</t>
  </si>
  <si>
    <t>Sub-Bituminous Coal</t>
  </si>
  <si>
    <t>p10.d</t>
  </si>
  <si>
    <t>C_SUBC</t>
  </si>
  <si>
    <t>Patent Fuel</t>
  </si>
  <si>
    <t>p10.e</t>
  </si>
  <si>
    <t>C_PATF</t>
  </si>
  <si>
    <t>Lignite/Brown Coal</t>
  </si>
  <si>
    <t>p10.f</t>
  </si>
  <si>
    <t>C_LIBC</t>
  </si>
  <si>
    <t>BKB/Peat Briquettes</t>
  </si>
  <si>
    <t>p10.g</t>
  </si>
  <si>
    <t>C_BKBP</t>
  </si>
  <si>
    <t>Peat</t>
  </si>
  <si>
    <t>p10.h</t>
  </si>
  <si>
    <t>C_PEAT</t>
  </si>
  <si>
    <t>Crude petroleum and services related to crude oil extraction, excluding surveying</t>
  </si>
  <si>
    <t>p11.a</t>
  </si>
  <si>
    <t>C_COIL</t>
  </si>
  <si>
    <t>Natural gas and services related to natural gas extraction, excluding surveying</t>
  </si>
  <si>
    <t>p11.b</t>
  </si>
  <si>
    <t>C_GASE</t>
  </si>
  <si>
    <t>Natural Gas Liquids</t>
  </si>
  <si>
    <t>p11.b.1</t>
  </si>
  <si>
    <t>C_GASL</t>
  </si>
  <si>
    <t>Other Hydrocarbons</t>
  </si>
  <si>
    <t>p11.c</t>
  </si>
  <si>
    <t>C_OGPL</t>
  </si>
  <si>
    <t>Uranium and thorium ores (12)</t>
  </si>
  <si>
    <t>p12</t>
  </si>
  <si>
    <t>C_ORAN</t>
  </si>
  <si>
    <t>Iron ores</t>
  </si>
  <si>
    <t>p13.1</t>
  </si>
  <si>
    <t>C_IRON</t>
  </si>
  <si>
    <t>Construction</t>
  </si>
  <si>
    <t>Copper ores and concentrates</t>
  </si>
  <si>
    <t>p13.20.11</t>
  </si>
  <si>
    <t>C_COPO</t>
  </si>
  <si>
    <t>Nickel ores and concentrates</t>
  </si>
  <si>
    <t>p13.20.12</t>
  </si>
  <si>
    <t>C_NIKO</t>
  </si>
  <si>
    <t>Aluminium ores and concentrates</t>
  </si>
  <si>
    <t>p13.20.13</t>
  </si>
  <si>
    <t>C_ALUO</t>
  </si>
  <si>
    <t>Precious metal ores and concentrates</t>
  </si>
  <si>
    <t>p13.20.14</t>
  </si>
  <si>
    <t>C_PREO</t>
  </si>
  <si>
    <t>Lead, zinc and tin ores and concentrates</t>
  </si>
  <si>
    <t>p13.20.15</t>
  </si>
  <si>
    <t>C_LZTO</t>
  </si>
  <si>
    <t>Other non-ferrous metal ores and concentrates</t>
  </si>
  <si>
    <t>p13.20.16</t>
  </si>
  <si>
    <t>C_ONFO</t>
  </si>
  <si>
    <t>Stone</t>
  </si>
  <si>
    <t>p14.1</t>
  </si>
  <si>
    <t>C_STON</t>
  </si>
  <si>
    <t>Sand and clay</t>
  </si>
  <si>
    <t>p14.2</t>
  </si>
  <si>
    <t>C_SDCL</t>
  </si>
  <si>
    <t>Chemical and fertilizer minerals, salt and other mining and quarrying products n.e.c.</t>
  </si>
  <si>
    <t>p14.3</t>
  </si>
  <si>
    <t>C_CHMF</t>
  </si>
  <si>
    <t>Products of meat cattle</t>
  </si>
  <si>
    <t>p15.a</t>
  </si>
  <si>
    <t>C_PCAT</t>
  </si>
  <si>
    <t>Products of meat pigs</t>
  </si>
  <si>
    <t>p15.b</t>
  </si>
  <si>
    <t>C_PPIG</t>
  </si>
  <si>
    <t>Products of meat poultry</t>
  </si>
  <si>
    <t>p15.c</t>
  </si>
  <si>
    <t>C_PPLT</t>
  </si>
  <si>
    <t>Meat products nec</t>
  </si>
  <si>
    <t>p15.d</t>
  </si>
  <si>
    <t>C_POME</t>
  </si>
  <si>
    <t>products of Vegetable oils and fats</t>
  </si>
  <si>
    <t>p15.e</t>
  </si>
  <si>
    <t>C_VOIL</t>
  </si>
  <si>
    <t>Dairy products</t>
  </si>
  <si>
    <t>p15.f</t>
  </si>
  <si>
    <t>C_DAIR</t>
  </si>
  <si>
    <t>Processed rice</t>
  </si>
  <si>
    <t>p15.g</t>
  </si>
  <si>
    <t>C_RICE</t>
  </si>
  <si>
    <t>Sugar</t>
  </si>
  <si>
    <t>p15.h</t>
  </si>
  <si>
    <t>C_SUGR</t>
  </si>
  <si>
    <t>Food products nec</t>
  </si>
  <si>
    <t>p15.i</t>
  </si>
  <si>
    <t>C_OFOD</t>
  </si>
  <si>
    <t>Beverages</t>
  </si>
  <si>
    <t>p15.j</t>
  </si>
  <si>
    <t>C_BEVR</t>
  </si>
  <si>
    <t>Fish products</t>
  </si>
  <si>
    <t>p15.k</t>
  </si>
  <si>
    <t>C_FSHP</t>
  </si>
  <si>
    <t>Tobacco products (16)</t>
  </si>
  <si>
    <t>p16</t>
  </si>
  <si>
    <t>C_TOBC</t>
  </si>
  <si>
    <t>Textiles (17)</t>
  </si>
  <si>
    <t>p17</t>
  </si>
  <si>
    <t>C_TEXT</t>
  </si>
  <si>
    <t>Wearing apparel; furs (18)</t>
  </si>
  <si>
    <t>p18</t>
  </si>
  <si>
    <t>C_GARM</t>
  </si>
  <si>
    <t>Leather and leather products (19)</t>
  </si>
  <si>
    <t>p19</t>
  </si>
  <si>
    <t>C_LETH</t>
  </si>
  <si>
    <t>Wood and products of wood and cork (except furniture); articles of straw and plaiting materials (20)</t>
  </si>
  <si>
    <t>p20</t>
  </si>
  <si>
    <t>C_WOOD</t>
  </si>
  <si>
    <t>Wood material for treatment, Re-processing of secondary wood material into new wood material</t>
  </si>
  <si>
    <t>p20.w</t>
  </si>
  <si>
    <t>C_WOOW</t>
  </si>
  <si>
    <t>Pulp</t>
  </si>
  <si>
    <t>p21.1</t>
  </si>
  <si>
    <t>C_PULP</t>
  </si>
  <si>
    <t>Manufactured_products</t>
  </si>
  <si>
    <t>Secondary paper for treatment, Re-processing of secondary paper into new pulp</t>
  </si>
  <si>
    <t>p21.w.1</t>
  </si>
  <si>
    <t>C_PAPR</t>
  </si>
  <si>
    <t>Paper and paper products</t>
  </si>
  <si>
    <t>p21.2</t>
  </si>
  <si>
    <t>C_PAPE</t>
  </si>
  <si>
    <t>Printed matter and recorded media (22)</t>
  </si>
  <si>
    <t>p22</t>
  </si>
  <si>
    <t>C_MDIA</t>
  </si>
  <si>
    <t>Coke Oven Coke</t>
  </si>
  <si>
    <t>p23.1.a</t>
  </si>
  <si>
    <t>C_COKE</t>
  </si>
  <si>
    <t>Gas Coke</t>
  </si>
  <si>
    <t>p23.1.b</t>
  </si>
  <si>
    <t>C_GCOK</t>
  </si>
  <si>
    <t>Coal Tar</t>
  </si>
  <si>
    <t>p23.1.c</t>
  </si>
  <si>
    <t>C_COTA</t>
  </si>
  <si>
    <t>Motor Gasoline</t>
  </si>
  <si>
    <t>p23.20.a</t>
  </si>
  <si>
    <t>C_MGSL</t>
  </si>
  <si>
    <t>Mobility</t>
  </si>
  <si>
    <t>Aviation Gasoline</t>
  </si>
  <si>
    <t>p23.20.b</t>
  </si>
  <si>
    <t>C_AGSL</t>
  </si>
  <si>
    <t>Gasoline Type Jet Fuel</t>
  </si>
  <si>
    <t>p23.20.c</t>
  </si>
  <si>
    <t>C_GJET</t>
  </si>
  <si>
    <t>Kerosene Type Jet Fuel</t>
  </si>
  <si>
    <t>p23.20.d</t>
  </si>
  <si>
    <t>C_KJET</t>
  </si>
  <si>
    <t>Kerosene</t>
  </si>
  <si>
    <t>p23.20.e</t>
  </si>
  <si>
    <t>C_KERO</t>
  </si>
  <si>
    <t>Gas/Diesel Oil</t>
  </si>
  <si>
    <t>p23.20.f</t>
  </si>
  <si>
    <t>C_DOIL</t>
  </si>
  <si>
    <t>Heavy Fuel Oil</t>
  </si>
  <si>
    <t>p23.20.g</t>
  </si>
  <si>
    <t>C_FOIL</t>
  </si>
  <si>
    <t>Refinery Gas</t>
  </si>
  <si>
    <t>p23.20.h</t>
  </si>
  <si>
    <t>C_RGAS</t>
  </si>
  <si>
    <t>Liquefied Petroleum Gases (LPG)</t>
  </si>
  <si>
    <t>p23.20.i</t>
  </si>
  <si>
    <t>C_LPGA</t>
  </si>
  <si>
    <t>Refinery Feedstocks</t>
  </si>
  <si>
    <t>p23.20.j</t>
  </si>
  <si>
    <t>C_REFF</t>
  </si>
  <si>
    <t>Ethane</t>
  </si>
  <si>
    <t>p23.20.k</t>
  </si>
  <si>
    <t>C_ETHA</t>
  </si>
  <si>
    <t>Naphtha</t>
  </si>
  <si>
    <t>p23.20.l</t>
  </si>
  <si>
    <t>C_NAPT</t>
  </si>
  <si>
    <t>White Spirit &amp; SBP</t>
  </si>
  <si>
    <t>p23.20.m</t>
  </si>
  <si>
    <t>C_WHSP</t>
  </si>
  <si>
    <t>Lubricants</t>
  </si>
  <si>
    <t>p23.20.n</t>
  </si>
  <si>
    <t>C_LUBR</t>
  </si>
  <si>
    <t>Bitumen</t>
  </si>
  <si>
    <t>p23.20.o</t>
  </si>
  <si>
    <t>C_BITU</t>
  </si>
  <si>
    <t>Paraffin Waxes</t>
  </si>
  <si>
    <t>p23.20.p</t>
  </si>
  <si>
    <t>C_PARW</t>
  </si>
  <si>
    <t>Petroleum Coke</t>
  </si>
  <si>
    <t>p23.20.q</t>
  </si>
  <si>
    <t>C_PETC</t>
  </si>
  <si>
    <t>Non-specified Petroleum Products</t>
  </si>
  <si>
    <t>p23.20.r</t>
  </si>
  <si>
    <t>C_NSPP</t>
  </si>
  <si>
    <t>Nuclear fuel</t>
  </si>
  <si>
    <t>p23.3</t>
  </si>
  <si>
    <t>C_NUCF</t>
  </si>
  <si>
    <t>Plastics, basic</t>
  </si>
  <si>
    <t>p24.a</t>
  </si>
  <si>
    <t>C_PLAS</t>
  </si>
  <si>
    <t>Secondary plastic for treatment, Re-processing of secondary plastic into new plastic</t>
  </si>
  <si>
    <t>p24.a.w</t>
  </si>
  <si>
    <t>C_PLAW</t>
  </si>
  <si>
    <t>N-fertiliser</t>
  </si>
  <si>
    <t>p24.b</t>
  </si>
  <si>
    <t>C_NFER</t>
  </si>
  <si>
    <t>P- and other fertiliser</t>
  </si>
  <si>
    <t>p24.c</t>
  </si>
  <si>
    <t>C_PFER</t>
  </si>
  <si>
    <t>Chemicals nec</t>
  </si>
  <si>
    <t>p24.d</t>
  </si>
  <si>
    <t>C_CHEM</t>
  </si>
  <si>
    <t>Charcoal</t>
  </si>
  <si>
    <t>p24.e</t>
  </si>
  <si>
    <t>C_CHAR</t>
  </si>
  <si>
    <t>Additives/Blending Components</t>
  </si>
  <si>
    <t>p24.f</t>
  </si>
  <si>
    <t>C_ADDC</t>
  </si>
  <si>
    <t>Biogasoline</t>
  </si>
  <si>
    <t>p24.g</t>
  </si>
  <si>
    <t>C_BIOG</t>
  </si>
  <si>
    <t>Biodiesels</t>
  </si>
  <si>
    <t>p24.h</t>
  </si>
  <si>
    <t>C_BIOD</t>
  </si>
  <si>
    <t>Other Liquid Biofuels</t>
  </si>
  <si>
    <t>p24.i</t>
  </si>
  <si>
    <t>C_OBIO</t>
  </si>
  <si>
    <t>Rubber and plastic products (25)</t>
  </si>
  <si>
    <t>p25</t>
  </si>
  <si>
    <t>C_RUBP</t>
  </si>
  <si>
    <t>Glass and glass products</t>
  </si>
  <si>
    <t>p26.a</t>
  </si>
  <si>
    <t>C_GLAS</t>
  </si>
  <si>
    <t>Secondary glass for treatment, Re-processing of secondary glass into new glass</t>
  </si>
  <si>
    <t>p26.a.w</t>
  </si>
  <si>
    <t>C_GLAW</t>
  </si>
  <si>
    <t>Ceramic goods</t>
  </si>
  <si>
    <t>p26.b</t>
  </si>
  <si>
    <t>C_CRMC</t>
  </si>
  <si>
    <t>Bricks, tiles and construction products, in baked clay</t>
  </si>
  <si>
    <t>p26.c</t>
  </si>
  <si>
    <t>C_BRIK</t>
  </si>
  <si>
    <t>Cement, lime and plaster</t>
  </si>
  <si>
    <t>p26.d</t>
  </si>
  <si>
    <t>C_CMNT</t>
  </si>
  <si>
    <t>Ash for treatment, Re-processing of ash into clinker</t>
  </si>
  <si>
    <t>p26.d.w</t>
  </si>
  <si>
    <t>C_ASHW</t>
  </si>
  <si>
    <t>Other non-metallic mineral products</t>
  </si>
  <si>
    <t>p26.e</t>
  </si>
  <si>
    <t>C_ONMM</t>
  </si>
  <si>
    <t>Basic iron and steel and of ferro-alloys and first products thereof</t>
  </si>
  <si>
    <t>p27.a</t>
  </si>
  <si>
    <t>C_STEL</t>
  </si>
  <si>
    <t>Secondary steel for treatment, Re-processing of secondary steel into new steel</t>
  </si>
  <si>
    <t>p27.a.w</t>
  </si>
  <si>
    <t>C_STEW</t>
  </si>
  <si>
    <t>Precious metals</t>
  </si>
  <si>
    <t>p27.41</t>
  </si>
  <si>
    <t>C_PREM</t>
  </si>
  <si>
    <t>Secondary preciuos metals for treatment, Re-processing of secondary preciuos metals into new preciuos metals</t>
  </si>
  <si>
    <t>p27.41.w</t>
  </si>
  <si>
    <t>C_PREW</t>
  </si>
  <si>
    <t>Aluminium and aluminium products</t>
  </si>
  <si>
    <t>p27.42</t>
  </si>
  <si>
    <t>C_ALUM</t>
  </si>
  <si>
    <t>Secondary aluminium for treatment, Re-processing of secondary aluminium into new aluminium</t>
  </si>
  <si>
    <t>p27.42.w</t>
  </si>
  <si>
    <t>C_ALUW</t>
  </si>
  <si>
    <t>Lead, zinc and tin and products thereof</t>
  </si>
  <si>
    <t>p27.43</t>
  </si>
  <si>
    <t>C_LZTP</t>
  </si>
  <si>
    <t>Secondary lead for treatment, Re-processing of secondary lead into new lead</t>
  </si>
  <si>
    <t>p27.43.w</t>
  </si>
  <si>
    <t>C_LZTW</t>
  </si>
  <si>
    <t>Copper products</t>
  </si>
  <si>
    <t>p27.44</t>
  </si>
  <si>
    <t>C_COPP</t>
  </si>
  <si>
    <t>Secondary copper for treatment, Re-processing of secondary copper into new copper</t>
  </si>
  <si>
    <t>p27.44.w</t>
  </si>
  <si>
    <t>C_COPW</t>
  </si>
  <si>
    <t>Other non-ferrous metal products</t>
  </si>
  <si>
    <t>p27.45</t>
  </si>
  <si>
    <t>C_ONFM</t>
  </si>
  <si>
    <t>Secondary other non-ferrous metals for treatment, Re-processing of secondary other non-ferrous metals into new other non-ferrous metals</t>
  </si>
  <si>
    <t>p27.45.w</t>
  </si>
  <si>
    <t>C_ONFW</t>
  </si>
  <si>
    <t>Foundry work services</t>
  </si>
  <si>
    <t>p27.5</t>
  </si>
  <si>
    <t>C_METC</t>
  </si>
  <si>
    <t>Fabricated metal products, except machinery and equipment (28)</t>
  </si>
  <si>
    <t>p28</t>
  </si>
  <si>
    <t>C_FABM</t>
  </si>
  <si>
    <t>Machinery and equipment n.e.c. (29)</t>
  </si>
  <si>
    <t>p29</t>
  </si>
  <si>
    <t>C_MACH</t>
  </si>
  <si>
    <t>Office machinery and computers (30)</t>
  </si>
  <si>
    <t>p30</t>
  </si>
  <si>
    <t>C_OFMA</t>
  </si>
  <si>
    <t>Electrical machinery and apparatus n.e.c. (31)</t>
  </si>
  <si>
    <t>p31</t>
  </si>
  <si>
    <t>C_ELMA</t>
  </si>
  <si>
    <t>Radio, television and communication equipment and apparatus (32)</t>
  </si>
  <si>
    <t>p32</t>
  </si>
  <si>
    <t>C_RATV</t>
  </si>
  <si>
    <t>Medical, precision and optical instruments, watches and clocks (33)</t>
  </si>
  <si>
    <t>p33</t>
  </si>
  <si>
    <t>C_MEIN</t>
  </si>
  <si>
    <t>Motor vehicles, trailers and semi-trailers (34)</t>
  </si>
  <si>
    <t>p34</t>
  </si>
  <si>
    <t>C_MOTO</t>
  </si>
  <si>
    <t>Other transport equipment (35)</t>
  </si>
  <si>
    <t>p35</t>
  </si>
  <si>
    <t>C_OTRE</t>
  </si>
  <si>
    <t>Furniture; other manufactured goods n.e.c. (36)</t>
  </si>
  <si>
    <t>p36</t>
  </si>
  <si>
    <t>C_FURN</t>
  </si>
  <si>
    <t>Secondary raw materials</t>
  </si>
  <si>
    <t>p37</t>
  </si>
  <si>
    <t>C_RYMS</t>
  </si>
  <si>
    <t>Bottles for treatment, Recycling of bottles by direct reuse</t>
  </si>
  <si>
    <t>p37.w.1</t>
  </si>
  <si>
    <t>C_BOTW</t>
  </si>
  <si>
    <t>Electricity by coal</t>
  </si>
  <si>
    <t>p40.11.a</t>
  </si>
  <si>
    <t>C_POWC</t>
  </si>
  <si>
    <t>Electricity by gas</t>
  </si>
  <si>
    <t>p40.11.b</t>
  </si>
  <si>
    <t>C_POWG</t>
  </si>
  <si>
    <t>Electricity by nuclear</t>
  </si>
  <si>
    <t>p40.11.c</t>
  </si>
  <si>
    <t>C_POWN</t>
  </si>
  <si>
    <t>Electricity by hydro</t>
  </si>
  <si>
    <t>p40.11.d</t>
  </si>
  <si>
    <t>C_POWH</t>
  </si>
  <si>
    <t>Electricity by wind</t>
  </si>
  <si>
    <t>p40.11.e</t>
  </si>
  <si>
    <t>C_POWW</t>
  </si>
  <si>
    <t>Electricity by petroleum and other oil derivatives</t>
  </si>
  <si>
    <t>p40.11.f</t>
  </si>
  <si>
    <t>C_POWP</t>
  </si>
  <si>
    <t>Electricity by biomass and waste</t>
  </si>
  <si>
    <t>p40.11.g</t>
  </si>
  <si>
    <t>C_POWB</t>
  </si>
  <si>
    <t>Electricity by solar photovoltaic</t>
  </si>
  <si>
    <t>p40.11.h</t>
  </si>
  <si>
    <t>C_POWS</t>
  </si>
  <si>
    <t>Electricity by solar thermal</t>
  </si>
  <si>
    <t>p40.11.i</t>
  </si>
  <si>
    <t>C_POWE</t>
  </si>
  <si>
    <t>Electricity by tide, wave, ocean</t>
  </si>
  <si>
    <t>p40.11.j</t>
  </si>
  <si>
    <t>C_POWO</t>
  </si>
  <si>
    <t>Electricity by Geothermal</t>
  </si>
  <si>
    <t>p40.11.k</t>
  </si>
  <si>
    <t>C_POWM</t>
  </si>
  <si>
    <t>Electricity nec</t>
  </si>
  <si>
    <t>p40.11.l</t>
  </si>
  <si>
    <t>C_POWZ</t>
  </si>
  <si>
    <t>Transmission services of electricity</t>
  </si>
  <si>
    <t>p40.12</t>
  </si>
  <si>
    <t>C_POWT</t>
  </si>
  <si>
    <t>Distribution and trade services of electricity</t>
  </si>
  <si>
    <t>p40.13</t>
  </si>
  <si>
    <t>C_POWD</t>
  </si>
  <si>
    <t>Coke oven gas</t>
  </si>
  <si>
    <t>p40.2.a</t>
  </si>
  <si>
    <t>C_COOG</t>
  </si>
  <si>
    <t>Blast Furnace Gas</t>
  </si>
  <si>
    <t>p40.2.b</t>
  </si>
  <si>
    <t>C_MBFG</t>
  </si>
  <si>
    <t>Oxygen Steel Furnace Gas</t>
  </si>
  <si>
    <t>p40.2.c</t>
  </si>
  <si>
    <t>C_MOSG</t>
  </si>
  <si>
    <t>Gas Works Gas</t>
  </si>
  <si>
    <t>p40.2.d</t>
  </si>
  <si>
    <t>C_MGWG</t>
  </si>
  <si>
    <t>Biogas</t>
  </si>
  <si>
    <t>p40.2.e</t>
  </si>
  <si>
    <t>C_MBIO</t>
  </si>
  <si>
    <t>Distribution services of gaseous fuels through mains</t>
  </si>
  <si>
    <t>p40.2.1</t>
  </si>
  <si>
    <t>C_GASD</t>
  </si>
  <si>
    <t>Steam and hot water supply services</t>
  </si>
  <si>
    <t>p40.3</t>
  </si>
  <si>
    <t>C_HWAT</t>
  </si>
  <si>
    <t>Collected and purified water, distribution services of water (41)</t>
  </si>
  <si>
    <t>p41</t>
  </si>
  <si>
    <t>C_WATR</t>
  </si>
  <si>
    <t>Construction work (45)</t>
  </si>
  <si>
    <t>p45</t>
  </si>
  <si>
    <t>C_CONS</t>
  </si>
  <si>
    <t>Secondary construction material for treatment, Re-processing of secondary construction material into aggregates</t>
  </si>
  <si>
    <t>p45.w</t>
  </si>
  <si>
    <t>C_CONW</t>
  </si>
  <si>
    <t>Sale, maintenance, repair of motor vehicles, motor vehicles parts, motorcycles, motor cycles parts and accessoiries</t>
  </si>
  <si>
    <t>p50.a</t>
  </si>
  <si>
    <t>C_TDMO</t>
  </si>
  <si>
    <t>Trade</t>
  </si>
  <si>
    <t>Retail trade services of motor fuel</t>
  </si>
  <si>
    <t>p50.b</t>
  </si>
  <si>
    <t>C_TDFU</t>
  </si>
  <si>
    <t>Wholesale trade and commission trade services, except of motor vehicles and motorcycles (51)</t>
  </si>
  <si>
    <t>p51</t>
  </si>
  <si>
    <t>C_TDWH</t>
  </si>
  <si>
    <t>Retail  trade services, except of motor vehicles and motorcycles; repair services of personal and household goods (52)</t>
  </si>
  <si>
    <t>p52</t>
  </si>
  <si>
    <t>C_TDRT</t>
  </si>
  <si>
    <t>Hotel and restaurant services (55)</t>
  </si>
  <si>
    <t>p55</t>
  </si>
  <si>
    <t>C_HORE</t>
  </si>
  <si>
    <t>Services</t>
  </si>
  <si>
    <t>Railway transportation services</t>
  </si>
  <si>
    <t>p60.1</t>
  </si>
  <si>
    <t>C_TRAI</t>
  </si>
  <si>
    <t>Other land transportation services</t>
  </si>
  <si>
    <t>p60.2</t>
  </si>
  <si>
    <t>C_TLND</t>
  </si>
  <si>
    <t>Transportation services via pipelines</t>
  </si>
  <si>
    <t>p60.3</t>
  </si>
  <si>
    <t>C_TPIP</t>
  </si>
  <si>
    <t>Sea and coastal water transportation services</t>
  </si>
  <si>
    <t>p61.1</t>
  </si>
  <si>
    <t>C_TWAS</t>
  </si>
  <si>
    <t>Inland water transportation services</t>
  </si>
  <si>
    <t>p61.2</t>
  </si>
  <si>
    <t>C_TWAI</t>
  </si>
  <si>
    <t>Air transport services (62)</t>
  </si>
  <si>
    <t>p62</t>
  </si>
  <si>
    <t>C_TAIR</t>
  </si>
  <si>
    <t>Supporting and auxiliary transport services; travel agency services (63)</t>
  </si>
  <si>
    <t>p63</t>
  </si>
  <si>
    <t>C_TAUX</t>
  </si>
  <si>
    <t>Post and telecommunication services (64)</t>
  </si>
  <si>
    <t>p64</t>
  </si>
  <si>
    <t>C_PTEL</t>
  </si>
  <si>
    <t>Financial intermediation services, except insurance and pension funding services (65)</t>
  </si>
  <si>
    <t>p65</t>
  </si>
  <si>
    <t>C_FINT</t>
  </si>
  <si>
    <t>Insurance and pension funding services, except compulsory social security services (66)</t>
  </si>
  <si>
    <t>p66</t>
  </si>
  <si>
    <t>C_FINS</t>
  </si>
  <si>
    <t>Services auxiliary to financial intermediation (67)</t>
  </si>
  <si>
    <t>p67</t>
  </si>
  <si>
    <t>C_FAUX</t>
  </si>
  <si>
    <t>Real estate services (70)</t>
  </si>
  <si>
    <t>p70</t>
  </si>
  <si>
    <t>C_REAL</t>
  </si>
  <si>
    <t>Renting services of machinery and equipment without operator and of personal and household goods (71)</t>
  </si>
  <si>
    <t>p71</t>
  </si>
  <si>
    <t>C_MARE</t>
  </si>
  <si>
    <t>Computer and related services (72)</t>
  </si>
  <si>
    <t>p72</t>
  </si>
  <si>
    <t>C_COMP</t>
  </si>
  <si>
    <t>Research and development services (73)</t>
  </si>
  <si>
    <t>p73</t>
  </si>
  <si>
    <t>C_RESD</t>
  </si>
  <si>
    <t>Other business services (74)</t>
  </si>
  <si>
    <t>p74</t>
  </si>
  <si>
    <t>C_OBUS</t>
  </si>
  <si>
    <t>Public administration and defence services; compulsory social security services (75)</t>
  </si>
  <si>
    <t>p75</t>
  </si>
  <si>
    <t>C_PADF</t>
  </si>
  <si>
    <t>Education services (80)</t>
  </si>
  <si>
    <t>p80</t>
  </si>
  <si>
    <t>C_EDUC</t>
  </si>
  <si>
    <t>Health and social work services (85)</t>
  </si>
  <si>
    <t>p85</t>
  </si>
  <si>
    <t>C_HEAL</t>
  </si>
  <si>
    <t>Food waste for treatment: incineration</t>
  </si>
  <si>
    <t>p90.1.a</t>
  </si>
  <si>
    <t>C_INCF</t>
  </si>
  <si>
    <t>Paper waste for treatment: incineration</t>
  </si>
  <si>
    <t>p90.1.b</t>
  </si>
  <si>
    <t>C_INCP</t>
  </si>
  <si>
    <t>Plastic waste for treatment: incineration</t>
  </si>
  <si>
    <t>p90.1.c</t>
  </si>
  <si>
    <t>C_INCL</t>
  </si>
  <si>
    <t>Intert/metal waste for treatment: incineration</t>
  </si>
  <si>
    <t>p90.1.d</t>
  </si>
  <si>
    <t>C_INCM</t>
  </si>
  <si>
    <t>Textiles waste for treatment: incineration</t>
  </si>
  <si>
    <t>p90.1.e</t>
  </si>
  <si>
    <t>C_INCT</t>
  </si>
  <si>
    <t>Wood waste for treatment: incineration</t>
  </si>
  <si>
    <t>p90.1.f</t>
  </si>
  <si>
    <t>C_INCW</t>
  </si>
  <si>
    <t>Oil/hazardous waste for treatment: incineration</t>
  </si>
  <si>
    <t>p90.1.g</t>
  </si>
  <si>
    <t>C_INCO</t>
  </si>
  <si>
    <t>Food waste for treatment: biogasification and land application</t>
  </si>
  <si>
    <t>p90.2.a</t>
  </si>
  <si>
    <t>C_BIOF</t>
  </si>
  <si>
    <t>Paper waste for treatment: biogasification and land application</t>
  </si>
  <si>
    <t>p90.2.b</t>
  </si>
  <si>
    <t>C_BIOP</t>
  </si>
  <si>
    <t>Sewage sludge for treatment: biogasification and land application</t>
  </si>
  <si>
    <t>p90.2.c</t>
  </si>
  <si>
    <t>C_BIOS</t>
  </si>
  <si>
    <t>Food waste for treatment: composting and land application</t>
  </si>
  <si>
    <t>p90.3.a</t>
  </si>
  <si>
    <t>C_COMF</t>
  </si>
  <si>
    <t>Paper and wood waste for treatment: composting and land application</t>
  </si>
  <si>
    <t>p90.3.b</t>
  </si>
  <si>
    <t>C_COMW</t>
  </si>
  <si>
    <t>Food waste for treatment: waste water treatment</t>
  </si>
  <si>
    <t>p90.4.a</t>
  </si>
  <si>
    <t>C_WASF</t>
  </si>
  <si>
    <t>Other waste for treatment: waste water treatment</t>
  </si>
  <si>
    <t>p90.4.b</t>
  </si>
  <si>
    <t>C_WASO</t>
  </si>
  <si>
    <t>Food waste for treatment: landfill</t>
  </si>
  <si>
    <t>p90.5.a</t>
  </si>
  <si>
    <t>C_LANF</t>
  </si>
  <si>
    <t>Paper for treatment: landfill</t>
  </si>
  <si>
    <t>p90.5.b</t>
  </si>
  <si>
    <t>C_LANP</t>
  </si>
  <si>
    <t>Plastic waste for treatment: landfill</t>
  </si>
  <si>
    <t>p90.5.c</t>
  </si>
  <si>
    <t>C_LANL</t>
  </si>
  <si>
    <t>Inert/metal/hazardous waste for treatment: landfill</t>
  </si>
  <si>
    <t>p90.5.d</t>
  </si>
  <si>
    <t>C_LANI</t>
  </si>
  <si>
    <t>Textiles waste for treatment: landfill</t>
  </si>
  <si>
    <t>p90.5.e</t>
  </si>
  <si>
    <t>C_LANT</t>
  </si>
  <si>
    <t>Wood waste for treatment: landfill</t>
  </si>
  <si>
    <t>p90.5.f</t>
  </si>
  <si>
    <t>C_LANW</t>
  </si>
  <si>
    <t>Membership organisation services n.e.c. (91)</t>
  </si>
  <si>
    <t>p91</t>
  </si>
  <si>
    <t>C_ORGA</t>
  </si>
  <si>
    <t>Recreational, cultural and sporting services (92)</t>
  </si>
  <si>
    <t>p92</t>
  </si>
  <si>
    <t>C_RECR</t>
  </si>
  <si>
    <t>Other services (93)</t>
  </si>
  <si>
    <t>p93</t>
  </si>
  <si>
    <t>C_OSER</t>
  </si>
  <si>
    <t>Private households with employed persons (95)</t>
  </si>
  <si>
    <t>p95</t>
  </si>
  <si>
    <t>C_PRHH</t>
  </si>
  <si>
    <t>Extra-territorial organizations and bodies</t>
  </si>
  <si>
    <t>p99</t>
  </si>
  <si>
    <t>C_EXTO</t>
  </si>
  <si>
    <t>ISIC_A</t>
  </si>
  <si>
    <t>ISIC_B</t>
  </si>
  <si>
    <t>ISIC_C</t>
  </si>
  <si>
    <t>ISIC_D</t>
  </si>
  <si>
    <t>ISIC_E</t>
  </si>
  <si>
    <t>ISIC_F</t>
  </si>
  <si>
    <t>ISIC_G_H</t>
  </si>
  <si>
    <t>ISIC_I</t>
  </si>
  <si>
    <t>ISIC_J_K</t>
  </si>
  <si>
    <t>ISIC_L</t>
  </si>
  <si>
    <t>ISIC_M_N_O</t>
  </si>
  <si>
    <t>ISIC_P</t>
  </si>
  <si>
    <t>ISIC NAME</t>
  </si>
  <si>
    <t>Cultivation of paddy rice</t>
  </si>
  <si>
    <t>i01.a</t>
  </si>
  <si>
    <t>A_PARI</t>
  </si>
  <si>
    <t>Agriculture, hunting and related service activities (01)</t>
  </si>
  <si>
    <t>Cultivation of wheat</t>
  </si>
  <si>
    <t>i01.b</t>
  </si>
  <si>
    <t>A_WHEA</t>
  </si>
  <si>
    <t>Cultivation of cereal grains nec</t>
  </si>
  <si>
    <t>i01.c</t>
  </si>
  <si>
    <t>A_OCER</t>
  </si>
  <si>
    <t>Cultivation of vegetables, fruit, nuts</t>
  </si>
  <si>
    <t>i01.d</t>
  </si>
  <si>
    <t>A_FVEG</t>
  </si>
  <si>
    <t>Cultivation of oil seeds</t>
  </si>
  <si>
    <t>i01.e</t>
  </si>
  <si>
    <t>A_OILS</t>
  </si>
  <si>
    <t>Cultivation of sugar cane, sugar beet</t>
  </si>
  <si>
    <t>i01.f</t>
  </si>
  <si>
    <t>A_SUGB</t>
  </si>
  <si>
    <t>Cultivation of plant-based fibers</t>
  </si>
  <si>
    <t>i01.g</t>
  </si>
  <si>
    <t>A_FIBR</t>
  </si>
  <si>
    <t>Cultivation of crops nec</t>
  </si>
  <si>
    <t>i01.h</t>
  </si>
  <si>
    <t>A_OTCR</t>
  </si>
  <si>
    <t>Cattle farming</t>
  </si>
  <si>
    <t>i01.i</t>
  </si>
  <si>
    <t>A_CATL</t>
  </si>
  <si>
    <t>Pigs farming</t>
  </si>
  <si>
    <t>i01.j</t>
  </si>
  <si>
    <t>A_PIGS</t>
  </si>
  <si>
    <t>Poultry farming</t>
  </si>
  <si>
    <t>i01.k</t>
  </si>
  <si>
    <t>A_PLTR</t>
  </si>
  <si>
    <t>i01.l</t>
  </si>
  <si>
    <t>A_OMEA</t>
  </si>
  <si>
    <t>i01.m</t>
  </si>
  <si>
    <t>A_OANP</t>
  </si>
  <si>
    <t>i01.n</t>
  </si>
  <si>
    <t>A_MILK</t>
  </si>
  <si>
    <t>i01.o</t>
  </si>
  <si>
    <t>A_WOOL</t>
  </si>
  <si>
    <t>Manure treatment (conventional), storage and land application</t>
  </si>
  <si>
    <t>i01.w.1</t>
  </si>
  <si>
    <t>A_MANC</t>
  </si>
  <si>
    <t>Manure treatment (biogas), storage and land application</t>
  </si>
  <si>
    <t>i01.w.2</t>
  </si>
  <si>
    <t>A_MANB</t>
  </si>
  <si>
    <t>Forestry, logging and related service activities (02)</t>
  </si>
  <si>
    <t>i02</t>
  </si>
  <si>
    <t>A_FORE</t>
  </si>
  <si>
    <t>Fishing, operating of fish hatcheries and fish farms; service activities incidental to fishing (05)</t>
  </si>
  <si>
    <t>i05</t>
  </si>
  <si>
    <t>A_FISH</t>
  </si>
  <si>
    <t>Fishing (B)</t>
  </si>
  <si>
    <t>Mining of coal and lignite; extraction of peat (10)</t>
  </si>
  <si>
    <t>i10</t>
  </si>
  <si>
    <t>A_COAL</t>
  </si>
  <si>
    <t>Mining and quarrying (C)</t>
  </si>
  <si>
    <t>Extraction of crude petroleum and services related to crude oil extraction, excluding surveying</t>
  </si>
  <si>
    <t>i11.a</t>
  </si>
  <si>
    <t>A_COIL</t>
  </si>
  <si>
    <t>Extraction of natural gas and services related to natural gas extraction, excluding surveying</t>
  </si>
  <si>
    <t>i11.b</t>
  </si>
  <si>
    <t>A_GASE</t>
  </si>
  <si>
    <t>Extraction, liquefaction, and regasification of other petroleum and gaseous materials</t>
  </si>
  <si>
    <t>i11.c</t>
  </si>
  <si>
    <t>A_OGPL</t>
  </si>
  <si>
    <t>Mining of uranium and thorium ores (12)</t>
  </si>
  <si>
    <t>i12</t>
  </si>
  <si>
    <t>A_ORAN</t>
  </si>
  <si>
    <t>Mining of iron ores</t>
  </si>
  <si>
    <t>i13.1</t>
  </si>
  <si>
    <t>A_IRON</t>
  </si>
  <si>
    <t>Mining of copper ores and concentrates</t>
  </si>
  <si>
    <t>i13.20.11</t>
  </si>
  <si>
    <t>A_COPO</t>
  </si>
  <si>
    <t>Mining of nickel ores and concentrates</t>
  </si>
  <si>
    <t>i13.20.12</t>
  </si>
  <si>
    <t>A_NIKO</t>
  </si>
  <si>
    <t>Mining of aluminium ores and concentrates</t>
  </si>
  <si>
    <t>i13.20.13</t>
  </si>
  <si>
    <t>A_ALUO</t>
  </si>
  <si>
    <t>Mining of precious metal ores and concentrates</t>
  </si>
  <si>
    <t>i13.20.14</t>
  </si>
  <si>
    <t>A_PREO</t>
  </si>
  <si>
    <t>Mining of lead, zinc and tin ores and concentrates</t>
  </si>
  <si>
    <t>i13.20.15</t>
  </si>
  <si>
    <t>A_LZTO</t>
  </si>
  <si>
    <t>Mining of other non-ferrous metal ores and concentrates</t>
  </si>
  <si>
    <t>i13.20.16</t>
  </si>
  <si>
    <t>A_ONFO</t>
  </si>
  <si>
    <t>Quarrying of stone</t>
  </si>
  <si>
    <t>i14.1</t>
  </si>
  <si>
    <t>A_STON</t>
  </si>
  <si>
    <t>Quarrying of sand and clay</t>
  </si>
  <si>
    <t>i14.2</t>
  </si>
  <si>
    <t>A_SDCL</t>
  </si>
  <si>
    <t>Mining of chemical and fertilizer minerals, production of salt, other mining and quarrying n.e.c.</t>
  </si>
  <si>
    <t>i14.3</t>
  </si>
  <si>
    <t>A_CHMF</t>
  </si>
  <si>
    <t>Processing of meat cattle</t>
  </si>
  <si>
    <t>i15.a</t>
  </si>
  <si>
    <t>A_PCAT</t>
  </si>
  <si>
    <t>Manufacturing (D)</t>
  </si>
  <si>
    <t>Processing of meat pigs</t>
  </si>
  <si>
    <t>i15.b</t>
  </si>
  <si>
    <t>A_PPIG</t>
  </si>
  <si>
    <t>Processing of meat poultry</t>
  </si>
  <si>
    <t>i15.c</t>
  </si>
  <si>
    <t>A_PPLT</t>
  </si>
  <si>
    <t>Production of meat products nec</t>
  </si>
  <si>
    <t>i15.d</t>
  </si>
  <si>
    <t>A_POME</t>
  </si>
  <si>
    <t>Processing vegetable oils and fats</t>
  </si>
  <si>
    <t>i15.e</t>
  </si>
  <si>
    <t>A_VOIL</t>
  </si>
  <si>
    <t>Processing of dairy products</t>
  </si>
  <si>
    <t>i15.f</t>
  </si>
  <si>
    <t>A_DAIR</t>
  </si>
  <si>
    <t>i15.g</t>
  </si>
  <si>
    <t>A_RICE</t>
  </si>
  <si>
    <t>Sugar refining</t>
  </si>
  <si>
    <t>i15.h</t>
  </si>
  <si>
    <t>A_SUGR</t>
  </si>
  <si>
    <t>Processing of Food products nec</t>
  </si>
  <si>
    <t>i15.i</t>
  </si>
  <si>
    <t>A_OFOD</t>
  </si>
  <si>
    <t>Manufacture of beverages</t>
  </si>
  <si>
    <t>i15.j</t>
  </si>
  <si>
    <t>A_BEVR</t>
  </si>
  <si>
    <t>Manufacture of fish products</t>
  </si>
  <si>
    <t>i15.k</t>
  </si>
  <si>
    <t>A_FSHP</t>
  </si>
  <si>
    <t>Manufacture of tobacco products (16)</t>
  </si>
  <si>
    <t>i16</t>
  </si>
  <si>
    <t>A_TOBC</t>
  </si>
  <si>
    <t>Manufacture of textiles (17)</t>
  </si>
  <si>
    <t>i17</t>
  </si>
  <si>
    <t>A_TEXT</t>
  </si>
  <si>
    <t>Manufacture of wearing apparel; dressing and dyeing of fur (18)</t>
  </si>
  <si>
    <t>i18</t>
  </si>
  <si>
    <t>A_GARM</t>
  </si>
  <si>
    <t>Tanning and dressing of leather; manufacture of luggage, handbags, saddlery, harness and footwear (19)</t>
  </si>
  <si>
    <t>i19</t>
  </si>
  <si>
    <t>A_LETH</t>
  </si>
  <si>
    <t>Manufacture of wood and of products of wood and cork, except furniture; manufacture of articles of straw and plaiting materials (20)</t>
  </si>
  <si>
    <t>i20</t>
  </si>
  <si>
    <t>A_WOOD</t>
  </si>
  <si>
    <t>Re-processing of secondary wood material into new wood material</t>
  </si>
  <si>
    <t>i20.w</t>
  </si>
  <si>
    <t>A_WOOW</t>
  </si>
  <si>
    <t>i21.1</t>
  </si>
  <si>
    <t>A_PULP</t>
  </si>
  <si>
    <t>Re-processing of secondary paper into new pulp</t>
  </si>
  <si>
    <t>i21.w.1</t>
  </si>
  <si>
    <t>A_PAPR</t>
  </si>
  <si>
    <t>Paper</t>
  </si>
  <si>
    <t>i21.2</t>
  </si>
  <si>
    <t>A_PAPE</t>
  </si>
  <si>
    <t>Publishing, printing and reproduction of recorded media (22)</t>
  </si>
  <si>
    <t>i22</t>
  </si>
  <si>
    <t>A_MDIA</t>
  </si>
  <si>
    <t>Manufacture of coke oven products</t>
  </si>
  <si>
    <t>i23.1</t>
  </si>
  <si>
    <t>A_COKE</t>
  </si>
  <si>
    <t>Petroleum Refinery</t>
  </si>
  <si>
    <t>i23.2</t>
  </si>
  <si>
    <t>A_REFN</t>
  </si>
  <si>
    <t>Processing of nuclear fuel</t>
  </si>
  <si>
    <t>i23.3</t>
  </si>
  <si>
    <t>A_NUCF</t>
  </si>
  <si>
    <t>i24.a</t>
  </si>
  <si>
    <t>A_PLAS</t>
  </si>
  <si>
    <t>Re-processing of secondary plastic into new plastic</t>
  </si>
  <si>
    <t>i24.a.w</t>
  </si>
  <si>
    <t>A_PLAW</t>
  </si>
  <si>
    <t>i24.b</t>
  </si>
  <si>
    <t>A_NFER</t>
  </si>
  <si>
    <t>i24.c</t>
  </si>
  <si>
    <t>A_PFER</t>
  </si>
  <si>
    <t>i24.d</t>
  </si>
  <si>
    <t>A_CHEM</t>
  </si>
  <si>
    <t>Manufacture of rubber and plastic products (25)</t>
  </si>
  <si>
    <t>i25</t>
  </si>
  <si>
    <t>A_RUBP</t>
  </si>
  <si>
    <t>Manufacture of glass and glass products</t>
  </si>
  <si>
    <t>i26.a</t>
  </si>
  <si>
    <t>A_GLAS</t>
  </si>
  <si>
    <t>Re-processing of secondary glass into new glass</t>
  </si>
  <si>
    <t>i26.a.w</t>
  </si>
  <si>
    <t>A_GLAW</t>
  </si>
  <si>
    <t>Manufacture of ceramic goods</t>
  </si>
  <si>
    <t>i26.b</t>
  </si>
  <si>
    <t>A_CRMC</t>
  </si>
  <si>
    <t>Manufacture of bricks, tiles and construction products, in baked clay</t>
  </si>
  <si>
    <t>i26.c</t>
  </si>
  <si>
    <t>A_BRIK</t>
  </si>
  <si>
    <t>Manufacture of cement, lime and plaster</t>
  </si>
  <si>
    <t>i26.d</t>
  </si>
  <si>
    <t>A_CMNT</t>
  </si>
  <si>
    <t>Re-processing of ash into clinker</t>
  </si>
  <si>
    <t>i26.d.w</t>
  </si>
  <si>
    <t>A_ASHW</t>
  </si>
  <si>
    <t>Manufacture of other non-metallic mineral products n.e.c.</t>
  </si>
  <si>
    <t>i26.e</t>
  </si>
  <si>
    <t>A_ONMM</t>
  </si>
  <si>
    <t>Manufacture of basic iron and steel and of ferro-alloys and first products thereof</t>
  </si>
  <si>
    <t>i27.a</t>
  </si>
  <si>
    <t>A_STEL</t>
  </si>
  <si>
    <t>Re-processing of secondary steel into new steel</t>
  </si>
  <si>
    <t>i27.a.w</t>
  </si>
  <si>
    <t>A_STEW</t>
  </si>
  <si>
    <t>Precious metals production</t>
  </si>
  <si>
    <t>i27.41</t>
  </si>
  <si>
    <t>A_PREM</t>
  </si>
  <si>
    <t>Re-processing of secondary preciuos metals into new preciuos metals</t>
  </si>
  <si>
    <t>i27.41.w</t>
  </si>
  <si>
    <t>A_PREW</t>
  </si>
  <si>
    <t>Aluminium production</t>
  </si>
  <si>
    <t>i27.42</t>
  </si>
  <si>
    <t>A_ALUM</t>
  </si>
  <si>
    <t>Re-processing of secondary aluminium into new aluminium</t>
  </si>
  <si>
    <t>i27.42.w</t>
  </si>
  <si>
    <t>A_ALUW</t>
  </si>
  <si>
    <t>Lead, zinc and tin production</t>
  </si>
  <si>
    <t>i27.43</t>
  </si>
  <si>
    <t>A_LZTP</t>
  </si>
  <si>
    <t>Re-processing of secondary lead into new lead, zinc and tin</t>
  </si>
  <si>
    <t>i27.43.w</t>
  </si>
  <si>
    <t>A_LZTW</t>
  </si>
  <si>
    <t>Copper production</t>
  </si>
  <si>
    <t>i27.44</t>
  </si>
  <si>
    <t>A_COPP</t>
  </si>
  <si>
    <t>Re-processing of secondary copper into new copper</t>
  </si>
  <si>
    <t>i27.44.w</t>
  </si>
  <si>
    <t>A_COPW</t>
  </si>
  <si>
    <t>Other non-ferrous metal production</t>
  </si>
  <si>
    <t>i27.45</t>
  </si>
  <si>
    <t>A_ONFM</t>
  </si>
  <si>
    <t>Re-processing of secondary other non-ferrous metals into new other non-ferrous metals</t>
  </si>
  <si>
    <t>i27.45.w</t>
  </si>
  <si>
    <t>A_ONFW</t>
  </si>
  <si>
    <t>Casting of metals</t>
  </si>
  <si>
    <t>i27.5</t>
  </si>
  <si>
    <t>A_METC</t>
  </si>
  <si>
    <t>Manufacture of fabricated metal products, except machinery and equipment (28)</t>
  </si>
  <si>
    <t>i28</t>
  </si>
  <si>
    <t>A_FABM</t>
  </si>
  <si>
    <t>Manufacture of machinery and equipment n.e.c. (29)</t>
  </si>
  <si>
    <t>i29</t>
  </si>
  <si>
    <t>A_MACH</t>
  </si>
  <si>
    <t>Manufacture of office machinery and computers (30)</t>
  </si>
  <si>
    <t>i30</t>
  </si>
  <si>
    <t>A_OFMA</t>
  </si>
  <si>
    <t>Manufacture of electrical machinery and apparatus n.e.c. (31)</t>
  </si>
  <si>
    <t>i31</t>
  </si>
  <si>
    <t>A_ELMA</t>
  </si>
  <si>
    <t>Manufacture of radio, television and communication equipment and apparatus (32)</t>
  </si>
  <si>
    <t>i32</t>
  </si>
  <si>
    <t>A_RATV</t>
  </si>
  <si>
    <t>Manufacture of medical, precision and optical instruments, watches and clocks (33)</t>
  </si>
  <si>
    <t>i33</t>
  </si>
  <si>
    <t>A_MEIN</t>
  </si>
  <si>
    <t>Manufacture of motor vehicles, trailers and semi-trailers (34)</t>
  </si>
  <si>
    <t>i34</t>
  </si>
  <si>
    <t>A_MOTO</t>
  </si>
  <si>
    <t>Manufacture of other transport equipment (35)</t>
  </si>
  <si>
    <t>i35</t>
  </si>
  <si>
    <t>A_OTRE</t>
  </si>
  <si>
    <t>Manufacture of furniture; manufacturing n.e.c. (36)</t>
  </si>
  <si>
    <t>i36</t>
  </si>
  <si>
    <t>A_FURN</t>
  </si>
  <si>
    <t>Recycling of waste and scrap</t>
  </si>
  <si>
    <t>i37</t>
  </si>
  <si>
    <t>A_RYMS</t>
  </si>
  <si>
    <t>Recycling of bottles by direct reuse</t>
  </si>
  <si>
    <t>i37.w.1</t>
  </si>
  <si>
    <t>A_BOTW</t>
  </si>
  <si>
    <t>Production of electricity by coal</t>
  </si>
  <si>
    <t>i40.11.a</t>
  </si>
  <si>
    <t>A_POWC</t>
  </si>
  <si>
    <t>Electricity, gas and water supply (E)</t>
  </si>
  <si>
    <t>Production of electricity by gas</t>
  </si>
  <si>
    <t>i40.11.b</t>
  </si>
  <si>
    <t>A_POWG</t>
  </si>
  <si>
    <t>Production of electricity by nuclear</t>
  </si>
  <si>
    <t>i40.11.c</t>
  </si>
  <si>
    <t>A_POWN</t>
  </si>
  <si>
    <t>Production of electricity by hydro</t>
  </si>
  <si>
    <t>i40.11.d</t>
  </si>
  <si>
    <t>A_POWH</t>
  </si>
  <si>
    <t>Production of electricity by wind</t>
  </si>
  <si>
    <t>i40.11.e</t>
  </si>
  <si>
    <t>A_POWW</t>
  </si>
  <si>
    <t>Production of electricity by petroleum and other oil derivatives</t>
  </si>
  <si>
    <t>i40.11.f</t>
  </si>
  <si>
    <t>A_POWP</t>
  </si>
  <si>
    <t>Production of electricity by biomass and waste</t>
  </si>
  <si>
    <t>i40.11.g</t>
  </si>
  <si>
    <t>A_POWB</t>
  </si>
  <si>
    <t>Production of electricity by solar photovoltaic</t>
  </si>
  <si>
    <t>i40.11.h</t>
  </si>
  <si>
    <t>A_POWS</t>
  </si>
  <si>
    <t>Production of electricity by solar thermal</t>
  </si>
  <si>
    <t>i40.11.i</t>
  </si>
  <si>
    <t>A_POWE</t>
  </si>
  <si>
    <t>Production of electricity by tide, wave, ocean</t>
  </si>
  <si>
    <t>i40.11.j</t>
  </si>
  <si>
    <t>A_POWO</t>
  </si>
  <si>
    <t>Production of electricity by Geothermal</t>
  </si>
  <si>
    <t>i40.11.k</t>
  </si>
  <si>
    <t>A_POWM</t>
  </si>
  <si>
    <t>Production of electricity nec</t>
  </si>
  <si>
    <t>i40.11.l</t>
  </si>
  <si>
    <t>A_POWZ</t>
  </si>
  <si>
    <t>Transmission of electricity</t>
  </si>
  <si>
    <t>i40.12</t>
  </si>
  <si>
    <t>A_POWT</t>
  </si>
  <si>
    <t>Distribution and trade of electricity</t>
  </si>
  <si>
    <t>i40.13</t>
  </si>
  <si>
    <t>A_POWD</t>
  </si>
  <si>
    <t>Manufacture of gas; distribution of gaseous fuels through mains</t>
  </si>
  <si>
    <t>i40.2</t>
  </si>
  <si>
    <t>A_GASD</t>
  </si>
  <si>
    <t>Steam and hot water supply</t>
  </si>
  <si>
    <t>i40.3</t>
  </si>
  <si>
    <t>A_HWAT</t>
  </si>
  <si>
    <t>Collection, purification and distribution of water (41)</t>
  </si>
  <si>
    <t>i41</t>
  </si>
  <si>
    <t>A_WATR</t>
  </si>
  <si>
    <t>Construction (45)</t>
  </si>
  <si>
    <t>i45</t>
  </si>
  <si>
    <t>A_CONS</t>
  </si>
  <si>
    <t>Construction (F)</t>
  </si>
  <si>
    <t>Re-processing of secondary construction material into aggregates</t>
  </si>
  <si>
    <t>i45.w</t>
  </si>
  <si>
    <t>A_CONW</t>
  </si>
  <si>
    <t>i50.a</t>
  </si>
  <si>
    <t>A_TDMO</t>
  </si>
  <si>
    <t>Wholesale retail trade, repair of motor vehicles, motorcycles, etc.; hotels and restaurants (G+H)</t>
  </si>
  <si>
    <t>Retail sale of automotive fuel</t>
  </si>
  <si>
    <t>i50.b</t>
  </si>
  <si>
    <t>A_TDFU</t>
  </si>
  <si>
    <t>Wholesale trade and commission trade, except of motor vehicles and motorcycles (51)</t>
  </si>
  <si>
    <t>i51</t>
  </si>
  <si>
    <t>A_TDWH</t>
  </si>
  <si>
    <t>Retail trade, except of motor vehicles and motorcycles; repair of personal and household goods (52)</t>
  </si>
  <si>
    <t>i52</t>
  </si>
  <si>
    <t>A_TDRT</t>
  </si>
  <si>
    <t>Hotels and restaurants (55)</t>
  </si>
  <si>
    <t>i55</t>
  </si>
  <si>
    <t>A_HORE</t>
  </si>
  <si>
    <t>Transport via railways</t>
  </si>
  <si>
    <t>i60.1</t>
  </si>
  <si>
    <t>A_TRAI</t>
  </si>
  <si>
    <t>Transport, storage and communications (I)</t>
  </si>
  <si>
    <t>Other land transport</t>
  </si>
  <si>
    <t>i60.2</t>
  </si>
  <si>
    <t>A_TLND</t>
  </si>
  <si>
    <t>Transport via pipelines</t>
  </si>
  <si>
    <t>i60.3</t>
  </si>
  <si>
    <t>A_TPIP</t>
  </si>
  <si>
    <t>Sea and coastal water transport</t>
  </si>
  <si>
    <t>i61.1</t>
  </si>
  <si>
    <t>A_TWAS</t>
  </si>
  <si>
    <t>Inland water transport</t>
  </si>
  <si>
    <t>i61.2</t>
  </si>
  <si>
    <t>A_TWAI</t>
  </si>
  <si>
    <t>Air transport (62)</t>
  </si>
  <si>
    <t>i62</t>
  </si>
  <si>
    <t>A_TAIR</t>
  </si>
  <si>
    <t>Supporting and auxiliary transport activities; activities of travel agencies (63)</t>
  </si>
  <si>
    <t>i63</t>
  </si>
  <si>
    <t>A_TAUX</t>
  </si>
  <si>
    <t>Post and telecommunications (64)</t>
  </si>
  <si>
    <t>i64</t>
  </si>
  <si>
    <t>A_PTEL</t>
  </si>
  <si>
    <t>Financial intermediation, except insurance and pension funding (65)</t>
  </si>
  <si>
    <t>i65</t>
  </si>
  <si>
    <t>A_FINT</t>
  </si>
  <si>
    <t>Financial intermediation; real estate, renting and business activities (J+K)</t>
  </si>
  <si>
    <t>Insurance and pension funding, except compulsory social security (66)</t>
  </si>
  <si>
    <t>i66</t>
  </si>
  <si>
    <t>A_FINS</t>
  </si>
  <si>
    <t>Activities auxiliary to financial intermediation (67)</t>
  </si>
  <si>
    <t>i67</t>
  </si>
  <si>
    <t>A_FAUX</t>
  </si>
  <si>
    <t>Real estate activities (70)</t>
  </si>
  <si>
    <t>i70</t>
  </si>
  <si>
    <t>A_REAL</t>
  </si>
  <si>
    <t>Renting of machinery and equipment without operator and of personal and household goods (71)</t>
  </si>
  <si>
    <t>i71</t>
  </si>
  <si>
    <t>A_MARE</t>
  </si>
  <si>
    <t>Computer and related activities (72)</t>
  </si>
  <si>
    <t>i72</t>
  </si>
  <si>
    <t>A_COMP</t>
  </si>
  <si>
    <t>Research and development (73)</t>
  </si>
  <si>
    <t>i73</t>
  </si>
  <si>
    <t>A_RESD</t>
  </si>
  <si>
    <t>Other business activities (74)</t>
  </si>
  <si>
    <t>i74</t>
  </si>
  <si>
    <t>A_OBUS</t>
  </si>
  <si>
    <t>Public administration and defence; compulsory social security (75)</t>
  </si>
  <si>
    <t>i75</t>
  </si>
  <si>
    <t>A_PADF</t>
  </si>
  <si>
    <t>Public administration and defense; compulsory social security (L)</t>
  </si>
  <si>
    <t>Education (80)</t>
  </si>
  <si>
    <t>i80</t>
  </si>
  <si>
    <t>A_EDUC</t>
  </si>
  <si>
    <t>Education; health and social work; other community, social and personal services (M+N+O)</t>
  </si>
  <si>
    <t>Health and social work (85)</t>
  </si>
  <si>
    <t>i85</t>
  </si>
  <si>
    <t>A_HEAL</t>
  </si>
  <si>
    <t>Incineration of waste: Food</t>
  </si>
  <si>
    <t>i90.1.a</t>
  </si>
  <si>
    <t>A_INCF</t>
  </si>
  <si>
    <t>Incineration of waste: Paper</t>
  </si>
  <si>
    <t>i90.1.b</t>
  </si>
  <si>
    <t>A_INCP</t>
  </si>
  <si>
    <t>Incineration of waste: Plastic</t>
  </si>
  <si>
    <t>i90.1.c</t>
  </si>
  <si>
    <t>A_INCL</t>
  </si>
  <si>
    <t>Incineration of waste: Metals and Inert materials</t>
  </si>
  <si>
    <t>i90.1.d</t>
  </si>
  <si>
    <t>A_INCM</t>
  </si>
  <si>
    <t>Incineration of waste: Textiles</t>
  </si>
  <si>
    <t>i90.1.e</t>
  </si>
  <si>
    <t>A_INCT</t>
  </si>
  <si>
    <t>Incineration of waste: Wood</t>
  </si>
  <si>
    <t>i90.1.f</t>
  </si>
  <si>
    <t>A_INCW</t>
  </si>
  <si>
    <t>Incineration of waste: Oil/Hazardous waste</t>
  </si>
  <si>
    <t>i90.1.g</t>
  </si>
  <si>
    <t>A_INCO</t>
  </si>
  <si>
    <t>Biogasification of food waste, incl. land application</t>
  </si>
  <si>
    <t>i90.2.a</t>
  </si>
  <si>
    <t>A_BIOF</t>
  </si>
  <si>
    <t>Biogasification of paper, incl. land application</t>
  </si>
  <si>
    <t>i90.2.b</t>
  </si>
  <si>
    <t>A_BIOP</t>
  </si>
  <si>
    <t>Biogasification of sewage slugde, incl. land application</t>
  </si>
  <si>
    <t>i90.2.c</t>
  </si>
  <si>
    <t>A_BIOS</t>
  </si>
  <si>
    <t>Composting of food waste, incl. land application</t>
  </si>
  <si>
    <t>i90.3.a</t>
  </si>
  <si>
    <t>A_COMF</t>
  </si>
  <si>
    <t>Composting of paper and wood, incl. land application</t>
  </si>
  <si>
    <t>i90.3.b</t>
  </si>
  <si>
    <t>A_COMW</t>
  </si>
  <si>
    <t>Waste water treatment, food</t>
  </si>
  <si>
    <t>i90.4.a</t>
  </si>
  <si>
    <t>A_WASF</t>
  </si>
  <si>
    <t>Waste water treatment, other</t>
  </si>
  <si>
    <t>i90.4.b</t>
  </si>
  <si>
    <t>A_WASO</t>
  </si>
  <si>
    <t>Landfill of waste: Food</t>
  </si>
  <si>
    <t>i90.5.a</t>
  </si>
  <si>
    <t>A_LANF</t>
  </si>
  <si>
    <t>Landfill of waste: Paper</t>
  </si>
  <si>
    <t>i90.5.b</t>
  </si>
  <si>
    <t>A_LANP</t>
  </si>
  <si>
    <t>Landfill of waste: Plastic</t>
  </si>
  <si>
    <t>i90.5.c</t>
  </si>
  <si>
    <t>A_LANL</t>
  </si>
  <si>
    <t>Landfill of waste: Inert/metal/hazardous</t>
  </si>
  <si>
    <t>i90.5.d</t>
  </si>
  <si>
    <t>A_LANI</t>
  </si>
  <si>
    <t>Landfill of waste: Textiles</t>
  </si>
  <si>
    <t>i90.5.e</t>
  </si>
  <si>
    <t>A_LANT</t>
  </si>
  <si>
    <t>Landfill of waste: Wood</t>
  </si>
  <si>
    <t>i90.5.f</t>
  </si>
  <si>
    <t>A_LANW</t>
  </si>
  <si>
    <t>Activities of membership organisation n.e.c. (91)</t>
  </si>
  <si>
    <t>i91</t>
  </si>
  <si>
    <t>A_ORGA</t>
  </si>
  <si>
    <t>Recreational, cultural and sporting activities (92)</t>
  </si>
  <si>
    <t>i92</t>
  </si>
  <si>
    <t>A_RECR</t>
  </si>
  <si>
    <t>Other service activities (93)</t>
  </si>
  <si>
    <t>i93</t>
  </si>
  <si>
    <t>A_OSER</t>
  </si>
  <si>
    <t>i95</t>
  </si>
  <si>
    <t>A_PRHH</t>
  </si>
  <si>
    <t>Private households with employed persons (P)</t>
  </si>
  <si>
    <t>i99</t>
  </si>
  <si>
    <t>A_EXTO</t>
  </si>
  <si>
    <t>tax</t>
  </si>
  <si>
    <t>sub</t>
  </si>
  <si>
    <t>tax_sub</t>
  </si>
  <si>
    <t>tax_ly_sum</t>
  </si>
  <si>
    <t>comp</t>
  </si>
  <si>
    <t>opersurplus</t>
  </si>
  <si>
    <t>pure</t>
  </si>
  <si>
    <t>allw</t>
  </si>
  <si>
    <t>sub_cat</t>
  </si>
  <si>
    <t>empty</t>
  </si>
  <si>
    <t>can_be_negative</t>
  </si>
  <si>
    <t>Taxes less subsidies on products purchased: Total</t>
  </si>
  <si>
    <t>w01</t>
  </si>
  <si>
    <t>T_TLSA</t>
  </si>
  <si>
    <t>Taxes on products purchased</t>
  </si>
  <si>
    <t>w01.a</t>
  </si>
  <si>
    <t>T_TAXA</t>
  </si>
  <si>
    <t>Subsidies on products purchased</t>
  </si>
  <si>
    <t>w01.b</t>
  </si>
  <si>
    <t>T_SUBA</t>
  </si>
  <si>
    <t>Other net taxes on production</t>
  </si>
  <si>
    <t>w02</t>
  </si>
  <si>
    <t>V_ONTP</t>
  </si>
  <si>
    <t>Compensation of employees; wages, salaries, &amp; employers' social contributions: Total</t>
  </si>
  <si>
    <t>w03</t>
  </si>
  <si>
    <t>V_WAGE</t>
  </si>
  <si>
    <t>Compensation of employees; wages, salaries, &amp; employers' social contributions: Low-skilled</t>
  </si>
  <si>
    <t>w03.a</t>
  </si>
  <si>
    <t>V_WALS</t>
  </si>
  <si>
    <t>Compensation of employees; wages, salaries, &amp; employers' social contributions: Medium-skilled</t>
  </si>
  <si>
    <t>w03.b</t>
  </si>
  <si>
    <t>V_WAMS</t>
  </si>
  <si>
    <t>Compensation of employees; wages, salaries, &amp; employers' social contributions: High-skilled</t>
  </si>
  <si>
    <t>w03.c</t>
  </si>
  <si>
    <t>V_WAHS</t>
  </si>
  <si>
    <t>Operating surplus: Consumption of fixed capital</t>
  </si>
  <si>
    <t>w04.a</t>
  </si>
  <si>
    <t>V_COFC</t>
  </si>
  <si>
    <t>Operating surplus: Rents on land</t>
  </si>
  <si>
    <t>w04.b</t>
  </si>
  <si>
    <t>V_RENL</t>
  </si>
  <si>
    <t>Operating surplus: Royalties on resources</t>
  </si>
  <si>
    <t>w04.c</t>
  </si>
  <si>
    <t>V_ROYR</t>
  </si>
  <si>
    <t>Operating surplus: Remaining net operating surplus</t>
  </si>
  <si>
    <t>w04.d</t>
  </si>
  <si>
    <t>V_NOPS</t>
  </si>
  <si>
    <t>allz</t>
  </si>
  <si>
    <t>sat_comp</t>
  </si>
  <si>
    <t>sat_emp</t>
  </si>
  <si>
    <t>sat_cap</t>
  </si>
  <si>
    <t>Compensation of Employees; wages &amp; salaries (million currency)</t>
  </si>
  <si>
    <t>z01</t>
  </si>
  <si>
    <t>V_WASA</t>
  </si>
  <si>
    <t>Compensation of Employees; employers' social contributions (million currency)</t>
  </si>
  <si>
    <t>z02</t>
  </si>
  <si>
    <t>V_WASC</t>
  </si>
  <si>
    <t>Employment: Total (1000 persons)</t>
  </si>
  <si>
    <t>z03</t>
  </si>
  <si>
    <t>E_NRTO</t>
  </si>
  <si>
    <t>Employment: Low-skilled (1000 persons)</t>
  </si>
  <si>
    <t>z03.a</t>
  </si>
  <si>
    <t>E_NRLS</t>
  </si>
  <si>
    <t>Employment: Medium-skilled (1000 persons)</t>
  </si>
  <si>
    <t>z03.b</t>
  </si>
  <si>
    <t>E_NRMS</t>
  </si>
  <si>
    <t>Employment: High-skilled (1000 persons)</t>
  </si>
  <si>
    <t>z03.c</t>
  </si>
  <si>
    <t>E_NRHS</t>
  </si>
  <si>
    <t>Employment: Total (hours)</t>
  </si>
  <si>
    <t>z04</t>
  </si>
  <si>
    <t>E_HRTO</t>
  </si>
  <si>
    <t>Employment: Low-skilled (hours)</t>
  </si>
  <si>
    <t>z04.a</t>
  </si>
  <si>
    <t>E_HRLS</t>
  </si>
  <si>
    <t>Employment: Medium-skilled (hours)</t>
  </si>
  <si>
    <t>z04.b</t>
  </si>
  <si>
    <t>E_HRMS</t>
  </si>
  <si>
    <t>Employment: High-skilled (hours)</t>
  </si>
  <si>
    <t>z04.c</t>
  </si>
  <si>
    <t>E_HRHS</t>
  </si>
  <si>
    <t>Fixed capital formation (million currency)</t>
  </si>
  <si>
    <t>z05</t>
  </si>
  <si>
    <t>I_FXCF</t>
  </si>
  <si>
    <t>Fixed capital stock (million currency)</t>
  </si>
  <si>
    <t>z06</t>
  </si>
  <si>
    <t>I_FXCS</t>
  </si>
  <si>
    <t>Capacity utilization (%)</t>
  </si>
  <si>
    <t>z07</t>
  </si>
  <si>
    <t>I_CAPU</t>
  </si>
  <si>
    <t>Within CREEA the classification change several times</t>
  </si>
  <si>
    <t>To compile a consistent classification file appears to be impossible - that's only one of the classifications used in CREEA</t>
  </si>
  <si>
    <t>Check the specific file in CREEA before using the classification here</t>
  </si>
  <si>
    <t>house</t>
  </si>
  <si>
    <t>gov</t>
  </si>
  <si>
    <t>expend</t>
  </si>
  <si>
    <t>cap</t>
  </si>
  <si>
    <t>expo</t>
  </si>
  <si>
    <t>Final consumption expenditure by households</t>
  </si>
  <si>
    <t>y01</t>
  </si>
  <si>
    <t>F_HOUS</t>
  </si>
  <si>
    <t>Final consumption expenditure by non-profit organisations serving households (NPISH)</t>
  </si>
  <si>
    <t>y02.a</t>
  </si>
  <si>
    <t>F_NPSH</t>
  </si>
  <si>
    <t>Final consumption expenditure by government</t>
  </si>
  <si>
    <t>y02.b</t>
  </si>
  <si>
    <t>F_GOVE</t>
  </si>
  <si>
    <t>Gross fixed capital formation</t>
  </si>
  <si>
    <t>y04</t>
  </si>
  <si>
    <t>I_GFCF</t>
  </si>
  <si>
    <t>Changes in inventories</t>
  </si>
  <si>
    <t>y05.a</t>
  </si>
  <si>
    <t>I_CHIN</t>
  </si>
  <si>
    <t>Changes in valuables</t>
  </si>
  <si>
    <t>y05.b</t>
  </si>
  <si>
    <t>I_CHVA</t>
  </si>
  <si>
    <t>Exports: Total (fob)</t>
  </si>
  <si>
    <t>y06</t>
  </si>
  <si>
    <t>X_TOTA</t>
  </si>
  <si>
    <t>Nr</t>
  </si>
  <si>
    <t>Imported Products: Total (cif)</t>
  </si>
  <si>
    <t>m01</t>
  </si>
  <si>
    <t>M_TOTA</t>
  </si>
  <si>
    <t>Layer</t>
  </si>
  <si>
    <t>NameShort</t>
  </si>
  <si>
    <t>Content</t>
  </si>
  <si>
    <t>bp</t>
  </si>
  <si>
    <t>marg</t>
  </si>
  <si>
    <t>bpdom</t>
  </si>
  <si>
    <t>ubpd</t>
  </si>
  <si>
    <t>Domestic use in basic prices</t>
  </si>
  <si>
    <t>bpimp</t>
  </si>
  <si>
    <t>ubpi</t>
  </si>
  <si>
    <t>Use of imported products in basic prices</t>
  </si>
  <si>
    <t>trade_margins</t>
  </si>
  <si>
    <t>td</t>
  </si>
  <si>
    <t>Trade margins</t>
  </si>
  <si>
    <t>transport_margins</t>
  </si>
  <si>
    <t>ts</t>
  </si>
  <si>
    <t>Transport margins</t>
  </si>
  <si>
    <t>product_taxes</t>
  </si>
  <si>
    <t>protax</t>
  </si>
  <si>
    <t>Product taxes</t>
  </si>
  <si>
    <t>Years</t>
  </si>
  <si>
    <t>special</t>
  </si>
  <si>
    <t>nowcast</t>
  </si>
  <si>
    <t>start</t>
  </si>
  <si>
    <t>EXIOPOL</t>
  </si>
  <si>
    <t>CREEA</t>
  </si>
  <si>
    <t>end</t>
  </si>
  <si>
    <t>To be specified</t>
  </si>
  <si>
    <t>The supply and use structure here applies only to the mat files used in the procedures</t>
  </si>
  <si>
    <t>The templates for the data exchange with CML and other partner still have to be specified</t>
  </si>
  <si>
    <t>For reading the data from CREEA the format specfied here is assumed to be a subset of the format used in the mat files (especially differences after row 212 in the use table are ok)</t>
  </si>
  <si>
    <t>Supply Table:</t>
  </si>
  <si>
    <t>2 dim array with prod x (ind + total imports)</t>
  </si>
  <si>
    <t>other columns in the supply table were removed compared to CREEA because of data doubling</t>
  </si>
  <si>
    <t>there will be a matlab function which puts this data back for presentation in xls (TODO)</t>
  </si>
  <si>
    <t>Use Table</t>
  </si>
  <si>
    <t>3 dim array with (pro + va(without Z categories)) x (ind + findemand) x (layers)</t>
  </si>
  <si>
    <t>All Z categories (employment related stuff) gets removed from the CREEA classification</t>
  </si>
  <si>
    <t>Layers:</t>
  </si>
  <si>
    <t>In difference to CREEA, the supply table is not longer part of the use table layer structure!</t>
  </si>
  <si>
    <t>The classificiation is based on the CREEA classificiation 2013 (CREEA Classifications2013.xls)</t>
  </si>
  <si>
    <t>However, as the classification in CREEA is not consistent, the classification here should be used for all DESIRE stuff</t>
  </si>
  <si>
    <t>Countries are defined separatley in meta/countries</t>
  </si>
  <si>
    <t>Sheets</t>
  </si>
  <si>
    <t>url</t>
  </si>
  <si>
    <t>products</t>
  </si>
  <si>
    <t>CPA 2008</t>
  </si>
  <si>
    <t>eurostat</t>
  </si>
  <si>
    <t>CPC version 2</t>
  </si>
  <si>
    <t>Unstat</t>
  </si>
  <si>
    <t>correspondance</t>
  </si>
  <si>
    <t>http://circa.europa.eu/irc/dsis/nacecpacon/info/data/en/correspondence%20table%20cpa%202008%20-%20cpc%20ver%202.pdf</t>
  </si>
  <si>
    <t>trade and transport margins</t>
  </si>
  <si>
    <t>These must be negative in the final supply use tables</t>
  </si>
  <si>
    <t>waste</t>
  </si>
  <si>
    <t>These are set zero across rows in the final table</t>
  </si>
  <si>
    <t>industries</t>
  </si>
  <si>
    <t>NACE Rev. 2</t>
  </si>
  <si>
    <t>ISIC Rev. 4</t>
  </si>
  <si>
    <t>http://unstats.un.org/unsd/cr/registry/regso.asp?Ci=70&amp;Lg=1</t>
  </si>
  <si>
    <t>The ISIC correspondece is important already in the compilation of the SUT b/c it is used to map the macro economic constraints of the UN to the industries in the 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</si>
</sst>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zoomScaleNormal="100" workbookViewId="0">
      <selection activeCell="B9" sqref="B9"/>
    </sheetView>
  </sheetViews>
  <sheetFormatPr defaultRowHeight="15" x14ac:dyDescent="0.25"/>
  <cols>
    <col min="2" max="2" width="148.28515625"/>
    <col min="5" max="5" width="26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0</v>
      </c>
      <c r="H2">
        <v>0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 t="s">
        <v>11</v>
      </c>
      <c r="F3">
        <v>0</v>
      </c>
      <c r="G3">
        <v>0</v>
      </c>
      <c r="H3">
        <v>0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 t="s">
        <v>11</v>
      </c>
      <c r="F4">
        <v>0</v>
      </c>
      <c r="G4">
        <v>0</v>
      </c>
      <c r="H4">
        <v>0</v>
      </c>
    </row>
    <row r="5" spans="1:8" x14ac:dyDescent="0.25">
      <c r="A5">
        <v>4</v>
      </c>
      <c r="B5" t="s">
        <v>18</v>
      </c>
      <c r="C5" t="s">
        <v>19</v>
      </c>
      <c r="D5" t="s">
        <v>20</v>
      </c>
      <c r="E5" t="s">
        <v>11</v>
      </c>
      <c r="F5">
        <v>0</v>
      </c>
      <c r="G5">
        <v>0</v>
      </c>
      <c r="H5">
        <v>0</v>
      </c>
    </row>
    <row r="6" spans="1:8" x14ac:dyDescent="0.25">
      <c r="A6">
        <v>5</v>
      </c>
      <c r="B6" t="s">
        <v>21</v>
      </c>
      <c r="C6" t="s">
        <v>22</v>
      </c>
      <c r="D6" t="s">
        <v>23</v>
      </c>
      <c r="E6" t="s">
        <v>11</v>
      </c>
      <c r="F6">
        <v>0</v>
      </c>
      <c r="G6">
        <v>0</v>
      </c>
      <c r="H6">
        <v>0</v>
      </c>
    </row>
    <row r="7" spans="1:8" x14ac:dyDescent="0.25">
      <c r="A7">
        <v>6</v>
      </c>
      <c r="B7" t="s">
        <v>24</v>
      </c>
      <c r="C7" t="s">
        <v>25</v>
      </c>
      <c r="D7" t="s">
        <v>26</v>
      </c>
      <c r="E7" t="s">
        <v>11</v>
      </c>
      <c r="F7">
        <v>0</v>
      </c>
      <c r="G7">
        <v>0</v>
      </c>
      <c r="H7">
        <v>0</v>
      </c>
    </row>
    <row r="8" spans="1:8" x14ac:dyDescent="0.25">
      <c r="A8">
        <v>7</v>
      </c>
      <c r="B8" t="s">
        <v>27</v>
      </c>
      <c r="C8" t="s">
        <v>28</v>
      </c>
      <c r="D8" t="s">
        <v>29</v>
      </c>
      <c r="E8" t="s">
        <v>11</v>
      </c>
      <c r="F8">
        <v>0</v>
      </c>
      <c r="G8">
        <v>0</v>
      </c>
      <c r="H8">
        <v>0</v>
      </c>
    </row>
    <row r="9" spans="1:8" x14ac:dyDescent="0.25">
      <c r="A9">
        <v>8</v>
      </c>
      <c r="B9" t="s">
        <v>30</v>
      </c>
      <c r="C9" t="s">
        <v>31</v>
      </c>
      <c r="D9" t="s">
        <v>32</v>
      </c>
      <c r="E9" t="s">
        <v>11</v>
      </c>
      <c r="F9">
        <v>0</v>
      </c>
      <c r="G9">
        <v>0</v>
      </c>
      <c r="H9">
        <v>0</v>
      </c>
    </row>
    <row r="10" spans="1:8" x14ac:dyDescent="0.25">
      <c r="A10">
        <v>9</v>
      </c>
      <c r="B10" t="s">
        <v>33</v>
      </c>
      <c r="C10" t="s">
        <v>34</v>
      </c>
      <c r="D10" t="s">
        <v>35</v>
      </c>
      <c r="E10" t="s">
        <v>11</v>
      </c>
      <c r="F10">
        <v>0</v>
      </c>
      <c r="G10">
        <v>0</v>
      </c>
      <c r="H10">
        <v>0</v>
      </c>
    </row>
    <row r="11" spans="1:8" x14ac:dyDescent="0.25">
      <c r="A11">
        <v>10</v>
      </c>
      <c r="B11" t="s">
        <v>36</v>
      </c>
      <c r="C11" t="s">
        <v>37</v>
      </c>
      <c r="D11" t="s">
        <v>38</v>
      </c>
      <c r="E11" t="s">
        <v>11</v>
      </c>
      <c r="F11">
        <v>0</v>
      </c>
      <c r="G11">
        <v>0</v>
      </c>
      <c r="H11">
        <v>0</v>
      </c>
    </row>
    <row r="12" spans="1:8" x14ac:dyDescent="0.25">
      <c r="A12">
        <v>11</v>
      </c>
      <c r="B12" t="s">
        <v>39</v>
      </c>
      <c r="C12" t="s">
        <v>40</v>
      </c>
      <c r="D12" t="s">
        <v>41</v>
      </c>
      <c r="E12" t="s">
        <v>11</v>
      </c>
      <c r="F12">
        <v>0</v>
      </c>
      <c r="G12">
        <v>0</v>
      </c>
      <c r="H12">
        <v>0</v>
      </c>
    </row>
    <row r="13" spans="1:8" x14ac:dyDescent="0.25">
      <c r="A13">
        <v>12</v>
      </c>
      <c r="B13" t="s">
        <v>42</v>
      </c>
      <c r="C13" t="s">
        <v>43</v>
      </c>
      <c r="D13" t="s">
        <v>44</v>
      </c>
      <c r="E13" t="s">
        <v>11</v>
      </c>
      <c r="F13">
        <v>0</v>
      </c>
      <c r="G13">
        <v>0</v>
      </c>
      <c r="H13">
        <v>0</v>
      </c>
    </row>
    <row r="14" spans="1:8" x14ac:dyDescent="0.25">
      <c r="A14">
        <v>13</v>
      </c>
      <c r="B14" t="s">
        <v>45</v>
      </c>
      <c r="C14" t="s">
        <v>46</v>
      </c>
      <c r="D14" t="s">
        <v>47</v>
      </c>
      <c r="E14" t="s">
        <v>11</v>
      </c>
      <c r="F14">
        <v>0</v>
      </c>
      <c r="G14">
        <v>0</v>
      </c>
      <c r="H14">
        <v>0</v>
      </c>
    </row>
    <row r="15" spans="1:8" x14ac:dyDescent="0.25">
      <c r="A15">
        <v>14</v>
      </c>
      <c r="B15" t="s">
        <v>48</v>
      </c>
      <c r="C15" t="s">
        <v>49</v>
      </c>
      <c r="D15" t="s">
        <v>50</v>
      </c>
      <c r="E15" t="s">
        <v>11</v>
      </c>
      <c r="F15">
        <v>0</v>
      </c>
      <c r="G15">
        <v>0</v>
      </c>
      <c r="H15">
        <v>0</v>
      </c>
    </row>
    <row r="16" spans="1:8" x14ac:dyDescent="0.25">
      <c r="A16">
        <v>15</v>
      </c>
      <c r="B16" t="s">
        <v>51</v>
      </c>
      <c r="C16" t="s">
        <v>52</v>
      </c>
      <c r="D16" t="s">
        <v>53</v>
      </c>
      <c r="E16" t="s">
        <v>54</v>
      </c>
      <c r="F16">
        <v>0</v>
      </c>
      <c r="G16">
        <v>0</v>
      </c>
      <c r="H16">
        <v>0</v>
      </c>
    </row>
    <row r="17" spans="1:8" x14ac:dyDescent="0.25">
      <c r="A17">
        <v>16</v>
      </c>
      <c r="B17" t="s">
        <v>55</v>
      </c>
      <c r="C17" t="s">
        <v>56</v>
      </c>
      <c r="D17" t="s">
        <v>57</v>
      </c>
      <c r="E17" t="s">
        <v>11</v>
      </c>
      <c r="F17">
        <v>0</v>
      </c>
      <c r="G17">
        <v>0</v>
      </c>
      <c r="H17">
        <v>1</v>
      </c>
    </row>
    <row r="18" spans="1:8" x14ac:dyDescent="0.25">
      <c r="A18">
        <v>17</v>
      </c>
      <c r="B18" t="s">
        <v>58</v>
      </c>
      <c r="C18" t="s">
        <v>59</v>
      </c>
      <c r="D18" t="s">
        <v>60</v>
      </c>
      <c r="E18" t="s">
        <v>11</v>
      </c>
      <c r="F18">
        <v>0</v>
      </c>
      <c r="G18">
        <v>0</v>
      </c>
      <c r="H18">
        <v>1</v>
      </c>
    </row>
    <row r="19" spans="1:8" x14ac:dyDescent="0.25">
      <c r="A19">
        <v>18</v>
      </c>
      <c r="B19" t="s">
        <v>61</v>
      </c>
      <c r="C19" t="s">
        <v>62</v>
      </c>
      <c r="D19" t="s">
        <v>63</v>
      </c>
      <c r="E19" t="s">
        <v>64</v>
      </c>
      <c r="F19">
        <v>0</v>
      </c>
      <c r="G19">
        <v>0</v>
      </c>
      <c r="H19">
        <v>0</v>
      </c>
    </row>
    <row r="20" spans="1:8" x14ac:dyDescent="0.25">
      <c r="A20">
        <v>19</v>
      </c>
      <c r="B20" t="s">
        <v>65</v>
      </c>
      <c r="C20" t="s">
        <v>66</v>
      </c>
      <c r="D20" t="s">
        <v>67</v>
      </c>
      <c r="E20" t="s">
        <v>11</v>
      </c>
      <c r="F20">
        <v>0</v>
      </c>
      <c r="G20">
        <v>0</v>
      </c>
      <c r="H20">
        <v>0</v>
      </c>
    </row>
    <row r="21" spans="1:8" x14ac:dyDescent="0.25">
      <c r="A21">
        <v>20</v>
      </c>
      <c r="B21" t="s">
        <v>68</v>
      </c>
      <c r="C21" t="s">
        <v>69</v>
      </c>
      <c r="D21" t="s">
        <v>70</v>
      </c>
      <c r="E21" t="s">
        <v>64</v>
      </c>
      <c r="F21">
        <v>0</v>
      </c>
      <c r="G21">
        <v>0</v>
      </c>
      <c r="H21">
        <v>0</v>
      </c>
    </row>
    <row r="22" spans="1:8" x14ac:dyDescent="0.25">
      <c r="A22">
        <v>21</v>
      </c>
      <c r="B22" t="s">
        <v>71</v>
      </c>
      <c r="C22" t="s">
        <v>72</v>
      </c>
      <c r="D22" t="s">
        <v>73</v>
      </c>
      <c r="E22" t="s">
        <v>64</v>
      </c>
      <c r="F22">
        <v>0</v>
      </c>
      <c r="G22">
        <v>0</v>
      </c>
      <c r="H22">
        <v>0</v>
      </c>
    </row>
    <row r="23" spans="1:8" x14ac:dyDescent="0.25">
      <c r="A23">
        <v>22</v>
      </c>
      <c r="B23" t="s">
        <v>74</v>
      </c>
      <c r="C23" t="s">
        <v>75</v>
      </c>
      <c r="D23" t="s">
        <v>76</v>
      </c>
      <c r="E23" t="s">
        <v>64</v>
      </c>
      <c r="F23">
        <v>0</v>
      </c>
      <c r="G23">
        <v>0</v>
      </c>
      <c r="H23">
        <v>0</v>
      </c>
    </row>
    <row r="24" spans="1:8" x14ac:dyDescent="0.25">
      <c r="A24">
        <v>23</v>
      </c>
      <c r="B24" t="s">
        <v>77</v>
      </c>
      <c r="C24" t="s">
        <v>78</v>
      </c>
      <c r="D24" t="s">
        <v>79</v>
      </c>
      <c r="E24" t="s">
        <v>64</v>
      </c>
      <c r="F24">
        <v>0</v>
      </c>
      <c r="G24">
        <v>0</v>
      </c>
      <c r="H24">
        <v>0</v>
      </c>
    </row>
    <row r="25" spans="1:8" x14ac:dyDescent="0.25">
      <c r="A25">
        <v>24</v>
      </c>
      <c r="B25" t="s">
        <v>80</v>
      </c>
      <c r="C25" t="s">
        <v>81</v>
      </c>
      <c r="D25" t="s">
        <v>82</v>
      </c>
      <c r="E25" t="s">
        <v>64</v>
      </c>
      <c r="F25">
        <v>0</v>
      </c>
      <c r="G25">
        <v>0</v>
      </c>
      <c r="H25">
        <v>0</v>
      </c>
    </row>
    <row r="26" spans="1:8" x14ac:dyDescent="0.25">
      <c r="A26">
        <v>25</v>
      </c>
      <c r="B26" t="s">
        <v>83</v>
      </c>
      <c r="C26" t="s">
        <v>84</v>
      </c>
      <c r="D26" t="s">
        <v>85</v>
      </c>
      <c r="E26" t="s">
        <v>64</v>
      </c>
      <c r="F26">
        <v>0</v>
      </c>
      <c r="G26">
        <v>0</v>
      </c>
      <c r="H26">
        <v>0</v>
      </c>
    </row>
    <row r="27" spans="1:8" x14ac:dyDescent="0.25">
      <c r="A27">
        <v>26</v>
      </c>
      <c r="B27" t="s">
        <v>86</v>
      </c>
      <c r="C27" t="s">
        <v>87</v>
      </c>
      <c r="D27" t="s">
        <v>88</v>
      </c>
      <c r="E27" t="s">
        <v>64</v>
      </c>
      <c r="F27">
        <v>0</v>
      </c>
      <c r="G27">
        <v>0</v>
      </c>
      <c r="H27">
        <v>0</v>
      </c>
    </row>
    <row r="28" spans="1:8" x14ac:dyDescent="0.25">
      <c r="A28">
        <v>27</v>
      </c>
      <c r="B28" t="s">
        <v>89</v>
      </c>
      <c r="C28" t="s">
        <v>90</v>
      </c>
      <c r="D28" t="s">
        <v>91</v>
      </c>
      <c r="E28" t="s">
        <v>64</v>
      </c>
      <c r="F28">
        <v>0</v>
      </c>
      <c r="G28">
        <v>0</v>
      </c>
      <c r="H28">
        <v>0</v>
      </c>
    </row>
    <row r="29" spans="1:8" x14ac:dyDescent="0.25">
      <c r="A29">
        <v>28</v>
      </c>
      <c r="B29" t="s">
        <v>92</v>
      </c>
      <c r="C29" t="s">
        <v>93</v>
      </c>
      <c r="D29" t="s">
        <v>94</v>
      </c>
      <c r="E29" t="s">
        <v>64</v>
      </c>
      <c r="F29">
        <v>0</v>
      </c>
      <c r="G29">
        <v>0</v>
      </c>
      <c r="H29">
        <v>0</v>
      </c>
    </row>
    <row r="30" spans="1:8" x14ac:dyDescent="0.25">
      <c r="A30">
        <v>29</v>
      </c>
      <c r="B30" t="s">
        <v>95</v>
      </c>
      <c r="C30" t="s">
        <v>96</v>
      </c>
      <c r="D30" t="s">
        <v>97</v>
      </c>
      <c r="E30" t="s">
        <v>64</v>
      </c>
      <c r="F30">
        <v>0</v>
      </c>
      <c r="G30">
        <v>0</v>
      </c>
      <c r="H30">
        <v>0</v>
      </c>
    </row>
    <row r="31" spans="1:8" x14ac:dyDescent="0.25">
      <c r="A31">
        <v>30</v>
      </c>
      <c r="B31" t="s">
        <v>98</v>
      </c>
      <c r="C31" t="s">
        <v>99</v>
      </c>
      <c r="D31" t="s">
        <v>100</v>
      </c>
      <c r="E31" t="s">
        <v>64</v>
      </c>
      <c r="F31">
        <v>0</v>
      </c>
      <c r="G31">
        <v>0</v>
      </c>
      <c r="H31">
        <v>0</v>
      </c>
    </row>
    <row r="32" spans="1:8" x14ac:dyDescent="0.25">
      <c r="A32">
        <v>31</v>
      </c>
      <c r="B32" t="s">
        <v>101</v>
      </c>
      <c r="C32" t="s">
        <v>102</v>
      </c>
      <c r="D32" t="s">
        <v>103</v>
      </c>
      <c r="E32" t="s">
        <v>64</v>
      </c>
      <c r="F32">
        <v>0</v>
      </c>
      <c r="G32">
        <v>0</v>
      </c>
      <c r="H32">
        <v>0</v>
      </c>
    </row>
    <row r="33" spans="1:8" x14ac:dyDescent="0.25">
      <c r="A33">
        <v>32</v>
      </c>
      <c r="B33" t="s">
        <v>104</v>
      </c>
      <c r="C33" t="s">
        <v>105</v>
      </c>
      <c r="D33" t="s">
        <v>106</v>
      </c>
      <c r="E33" t="s">
        <v>64</v>
      </c>
      <c r="F33">
        <v>0</v>
      </c>
      <c r="G33">
        <v>0</v>
      </c>
      <c r="H33">
        <v>0</v>
      </c>
    </row>
    <row r="34" spans="1:8" x14ac:dyDescent="0.25">
      <c r="A34">
        <v>33</v>
      </c>
      <c r="B34" t="s">
        <v>107</v>
      </c>
      <c r="C34" t="s">
        <v>108</v>
      </c>
      <c r="D34" t="s">
        <v>109</v>
      </c>
      <c r="E34" t="s">
        <v>110</v>
      </c>
      <c r="F34">
        <v>0</v>
      </c>
      <c r="G34">
        <v>0</v>
      </c>
      <c r="H34">
        <v>0</v>
      </c>
    </row>
    <row r="35" spans="1:8" x14ac:dyDescent="0.25">
      <c r="A35">
        <v>34</v>
      </c>
      <c r="B35" t="s">
        <v>111</v>
      </c>
      <c r="C35" t="s">
        <v>112</v>
      </c>
      <c r="D35" t="s">
        <v>113</v>
      </c>
      <c r="E35" t="s">
        <v>110</v>
      </c>
      <c r="F35">
        <v>0</v>
      </c>
      <c r="G35">
        <v>0</v>
      </c>
      <c r="H35">
        <v>0</v>
      </c>
    </row>
    <row r="36" spans="1:8" x14ac:dyDescent="0.25">
      <c r="A36">
        <v>35</v>
      </c>
      <c r="B36" t="s">
        <v>114</v>
      </c>
      <c r="C36" t="s">
        <v>115</v>
      </c>
      <c r="D36" t="s">
        <v>116</v>
      </c>
      <c r="E36" t="s">
        <v>110</v>
      </c>
      <c r="F36">
        <v>0</v>
      </c>
      <c r="G36">
        <v>0</v>
      </c>
      <c r="H36">
        <v>0</v>
      </c>
    </row>
    <row r="37" spans="1:8" x14ac:dyDescent="0.25">
      <c r="A37">
        <v>36</v>
      </c>
      <c r="B37" t="s">
        <v>117</v>
      </c>
      <c r="C37" t="s">
        <v>118</v>
      </c>
      <c r="D37" t="s">
        <v>119</v>
      </c>
      <c r="E37" t="s">
        <v>110</v>
      </c>
      <c r="F37">
        <v>0</v>
      </c>
      <c r="G37">
        <v>0</v>
      </c>
      <c r="H37">
        <v>0</v>
      </c>
    </row>
    <row r="38" spans="1:8" x14ac:dyDescent="0.25">
      <c r="A38">
        <v>37</v>
      </c>
      <c r="B38" t="s">
        <v>120</v>
      </c>
      <c r="C38" t="s">
        <v>121</v>
      </c>
      <c r="D38" t="s">
        <v>122</v>
      </c>
      <c r="E38" t="s">
        <v>110</v>
      </c>
      <c r="F38">
        <v>0</v>
      </c>
      <c r="G38">
        <v>0</v>
      </c>
      <c r="H38">
        <v>0</v>
      </c>
    </row>
    <row r="39" spans="1:8" x14ac:dyDescent="0.25">
      <c r="A39">
        <v>38</v>
      </c>
      <c r="B39" t="s">
        <v>123</v>
      </c>
      <c r="C39" t="s">
        <v>124</v>
      </c>
      <c r="D39" t="s">
        <v>125</v>
      </c>
      <c r="E39" t="s">
        <v>110</v>
      </c>
      <c r="F39">
        <v>0</v>
      </c>
      <c r="G39">
        <v>0</v>
      </c>
      <c r="H39">
        <v>0</v>
      </c>
    </row>
    <row r="40" spans="1:8" x14ac:dyDescent="0.25">
      <c r="A40">
        <v>39</v>
      </c>
      <c r="B40" t="s">
        <v>126</v>
      </c>
      <c r="C40" t="s">
        <v>127</v>
      </c>
      <c r="D40" t="s">
        <v>128</v>
      </c>
      <c r="E40" t="s">
        <v>110</v>
      </c>
      <c r="F40">
        <v>0</v>
      </c>
      <c r="G40">
        <v>0</v>
      </c>
      <c r="H40">
        <v>0</v>
      </c>
    </row>
    <row r="41" spans="1:8" x14ac:dyDescent="0.25">
      <c r="A41">
        <v>40</v>
      </c>
      <c r="B41" t="s">
        <v>129</v>
      </c>
      <c r="C41" t="s">
        <v>130</v>
      </c>
      <c r="D41" t="s">
        <v>131</v>
      </c>
      <c r="E41" t="s">
        <v>110</v>
      </c>
      <c r="F41">
        <v>0</v>
      </c>
      <c r="G41">
        <v>0</v>
      </c>
      <c r="H41">
        <v>0</v>
      </c>
    </row>
    <row r="42" spans="1:8" x14ac:dyDescent="0.25">
      <c r="A42">
        <v>41</v>
      </c>
      <c r="B42" t="s">
        <v>132</v>
      </c>
      <c r="C42" t="s">
        <v>133</v>
      </c>
      <c r="D42" t="s">
        <v>134</v>
      </c>
      <c r="E42" t="s">
        <v>110</v>
      </c>
      <c r="F42">
        <v>0</v>
      </c>
      <c r="G42">
        <v>0</v>
      </c>
      <c r="H42">
        <v>0</v>
      </c>
    </row>
    <row r="43" spans="1:8" x14ac:dyDescent="0.25">
      <c r="A43">
        <v>42</v>
      </c>
      <c r="B43" t="s">
        <v>135</v>
      </c>
      <c r="C43" t="s">
        <v>136</v>
      </c>
      <c r="D43" t="s">
        <v>137</v>
      </c>
      <c r="E43" t="s">
        <v>11</v>
      </c>
      <c r="F43">
        <v>0</v>
      </c>
      <c r="G43">
        <v>0</v>
      </c>
      <c r="H43">
        <v>0</v>
      </c>
    </row>
    <row r="44" spans="1:8" x14ac:dyDescent="0.25">
      <c r="A44">
        <v>43</v>
      </c>
      <c r="B44" t="s">
        <v>138</v>
      </c>
      <c r="C44" t="s">
        <v>139</v>
      </c>
      <c r="D44" t="s">
        <v>140</v>
      </c>
      <c r="E44" t="s">
        <v>11</v>
      </c>
      <c r="F44">
        <v>0</v>
      </c>
      <c r="G44">
        <v>0</v>
      </c>
      <c r="H44">
        <v>0</v>
      </c>
    </row>
    <row r="45" spans="1:8" x14ac:dyDescent="0.25">
      <c r="A45">
        <v>44</v>
      </c>
      <c r="B45" t="s">
        <v>141</v>
      </c>
      <c r="C45" t="s">
        <v>142</v>
      </c>
      <c r="D45" t="s">
        <v>143</v>
      </c>
      <c r="E45" t="s">
        <v>11</v>
      </c>
      <c r="F45">
        <v>0</v>
      </c>
      <c r="G45">
        <v>0</v>
      </c>
      <c r="H45">
        <v>0</v>
      </c>
    </row>
    <row r="46" spans="1:8" x14ac:dyDescent="0.25">
      <c r="A46">
        <v>45</v>
      </c>
      <c r="B46" t="s">
        <v>144</v>
      </c>
      <c r="C46" t="s">
        <v>145</v>
      </c>
      <c r="D46" t="s">
        <v>146</v>
      </c>
      <c r="E46" t="s">
        <v>11</v>
      </c>
      <c r="F46">
        <v>0</v>
      </c>
      <c r="G46">
        <v>0</v>
      </c>
      <c r="H46">
        <v>0</v>
      </c>
    </row>
    <row r="47" spans="1:8" x14ac:dyDescent="0.25">
      <c r="A47">
        <v>46</v>
      </c>
      <c r="B47" t="s">
        <v>147</v>
      </c>
      <c r="C47" t="s">
        <v>148</v>
      </c>
      <c r="D47" t="s">
        <v>149</v>
      </c>
      <c r="E47" t="s">
        <v>11</v>
      </c>
      <c r="F47">
        <v>0</v>
      </c>
      <c r="G47">
        <v>0</v>
      </c>
      <c r="H47">
        <v>0</v>
      </c>
    </row>
    <row r="48" spans="1:8" x14ac:dyDescent="0.25">
      <c r="A48">
        <v>47</v>
      </c>
      <c r="B48" t="s">
        <v>150</v>
      </c>
      <c r="C48" t="s">
        <v>151</v>
      </c>
      <c r="D48" t="s">
        <v>152</v>
      </c>
      <c r="E48" t="s">
        <v>11</v>
      </c>
      <c r="F48">
        <v>0</v>
      </c>
      <c r="G48">
        <v>0</v>
      </c>
      <c r="H48">
        <v>0</v>
      </c>
    </row>
    <row r="49" spans="1:8" x14ac:dyDescent="0.25">
      <c r="A49">
        <v>48</v>
      </c>
      <c r="B49" t="s">
        <v>153</v>
      </c>
      <c r="C49" t="s">
        <v>154</v>
      </c>
      <c r="D49" t="s">
        <v>155</v>
      </c>
      <c r="E49" t="s">
        <v>11</v>
      </c>
      <c r="F49">
        <v>0</v>
      </c>
      <c r="G49">
        <v>0</v>
      </c>
      <c r="H49">
        <v>0</v>
      </c>
    </row>
    <row r="50" spans="1:8" x14ac:dyDescent="0.25">
      <c r="A50">
        <v>49</v>
      </c>
      <c r="B50" t="s">
        <v>156</v>
      </c>
      <c r="C50" t="s">
        <v>157</v>
      </c>
      <c r="D50" t="s">
        <v>158</v>
      </c>
      <c r="E50" t="s">
        <v>11</v>
      </c>
      <c r="F50">
        <v>0</v>
      </c>
      <c r="G50">
        <v>0</v>
      </c>
      <c r="H50">
        <v>0</v>
      </c>
    </row>
    <row r="51" spans="1:8" x14ac:dyDescent="0.25">
      <c r="A51">
        <v>50</v>
      </c>
      <c r="B51" t="s">
        <v>159</v>
      </c>
      <c r="C51" t="s">
        <v>160</v>
      </c>
      <c r="D51" t="s">
        <v>161</v>
      </c>
      <c r="E51" t="s">
        <v>11</v>
      </c>
      <c r="F51">
        <v>0</v>
      </c>
      <c r="G51">
        <v>0</v>
      </c>
      <c r="H51">
        <v>0</v>
      </c>
    </row>
    <row r="52" spans="1:8" x14ac:dyDescent="0.25">
      <c r="A52">
        <v>51</v>
      </c>
      <c r="B52" t="s">
        <v>162</v>
      </c>
      <c r="C52" t="s">
        <v>163</v>
      </c>
      <c r="D52" t="s">
        <v>164</v>
      </c>
      <c r="E52" t="s">
        <v>11</v>
      </c>
      <c r="F52">
        <v>0</v>
      </c>
      <c r="G52">
        <v>0</v>
      </c>
      <c r="H52">
        <v>0</v>
      </c>
    </row>
    <row r="53" spans="1:8" x14ac:dyDescent="0.25">
      <c r="A53">
        <v>52</v>
      </c>
      <c r="B53" t="s">
        <v>165</v>
      </c>
      <c r="C53" t="s">
        <v>166</v>
      </c>
      <c r="D53" t="s">
        <v>167</v>
      </c>
      <c r="E53" t="s">
        <v>11</v>
      </c>
      <c r="F53">
        <v>0</v>
      </c>
      <c r="G53">
        <v>0</v>
      </c>
      <c r="H53">
        <v>0</v>
      </c>
    </row>
    <row r="54" spans="1:8" x14ac:dyDescent="0.25">
      <c r="A54">
        <v>53</v>
      </c>
      <c r="B54" t="s">
        <v>168</v>
      </c>
      <c r="C54" t="s">
        <v>169</v>
      </c>
      <c r="D54" t="s">
        <v>170</v>
      </c>
      <c r="E54" t="s">
        <v>11</v>
      </c>
      <c r="F54">
        <v>0</v>
      </c>
      <c r="G54">
        <v>0</v>
      </c>
      <c r="H54">
        <v>0</v>
      </c>
    </row>
    <row r="55" spans="1:8" x14ac:dyDescent="0.25">
      <c r="A55">
        <v>54</v>
      </c>
      <c r="B55" t="s">
        <v>171</v>
      </c>
      <c r="C55" t="s">
        <v>172</v>
      </c>
      <c r="D55" t="s">
        <v>173</v>
      </c>
      <c r="E55" t="s">
        <v>11</v>
      </c>
      <c r="F55">
        <v>0</v>
      </c>
      <c r="G55">
        <v>0</v>
      </c>
      <c r="H55">
        <v>0</v>
      </c>
    </row>
    <row r="56" spans="1:8" x14ac:dyDescent="0.25">
      <c r="A56">
        <v>55</v>
      </c>
      <c r="B56" t="s">
        <v>174</v>
      </c>
      <c r="C56" t="s">
        <v>175</v>
      </c>
      <c r="D56" t="s">
        <v>176</v>
      </c>
      <c r="E56" t="s">
        <v>54</v>
      </c>
      <c r="F56">
        <v>0</v>
      </c>
      <c r="G56">
        <v>0</v>
      </c>
      <c r="H56">
        <v>0</v>
      </c>
    </row>
    <row r="57" spans="1:8" x14ac:dyDescent="0.25">
      <c r="A57">
        <v>56</v>
      </c>
      <c r="B57" t="s">
        <v>177</v>
      </c>
      <c r="C57" t="s">
        <v>178</v>
      </c>
      <c r="D57" t="s">
        <v>179</v>
      </c>
      <c r="E57" t="s">
        <v>54</v>
      </c>
      <c r="F57">
        <v>0</v>
      </c>
      <c r="G57">
        <v>0</v>
      </c>
      <c r="H57">
        <v>0</v>
      </c>
    </row>
    <row r="58" spans="1:8" x14ac:dyDescent="0.25">
      <c r="A58">
        <v>57</v>
      </c>
      <c r="B58" t="s">
        <v>180</v>
      </c>
      <c r="C58" t="s">
        <v>181</v>
      </c>
      <c r="D58" t="s">
        <v>182</v>
      </c>
      <c r="E58" t="s">
        <v>54</v>
      </c>
      <c r="F58">
        <v>0</v>
      </c>
      <c r="G58">
        <v>0</v>
      </c>
      <c r="H58">
        <v>0</v>
      </c>
    </row>
    <row r="59" spans="1:8" x14ac:dyDescent="0.25">
      <c r="A59">
        <v>58</v>
      </c>
      <c r="B59" t="s">
        <v>183</v>
      </c>
      <c r="C59" t="s">
        <v>184</v>
      </c>
      <c r="D59" t="s">
        <v>185</v>
      </c>
      <c r="E59" t="s">
        <v>64</v>
      </c>
      <c r="F59">
        <v>0</v>
      </c>
      <c r="G59">
        <v>0</v>
      </c>
      <c r="H59">
        <v>0</v>
      </c>
    </row>
    <row r="60" spans="1:8" x14ac:dyDescent="0.25">
      <c r="A60">
        <v>59</v>
      </c>
      <c r="B60" t="s">
        <v>186</v>
      </c>
      <c r="C60" t="s">
        <v>187</v>
      </c>
      <c r="D60" t="s">
        <v>188</v>
      </c>
      <c r="E60" t="s">
        <v>64</v>
      </c>
      <c r="F60">
        <v>0</v>
      </c>
      <c r="G60">
        <v>0</v>
      </c>
      <c r="H60">
        <v>1</v>
      </c>
    </row>
    <row r="61" spans="1:8" x14ac:dyDescent="0.25">
      <c r="A61">
        <v>60</v>
      </c>
      <c r="B61" t="s">
        <v>189</v>
      </c>
      <c r="C61" t="s">
        <v>190</v>
      </c>
      <c r="D61" t="s">
        <v>191</v>
      </c>
      <c r="E61" t="s">
        <v>192</v>
      </c>
      <c r="F61">
        <v>0</v>
      </c>
      <c r="G61">
        <v>0</v>
      </c>
      <c r="H61">
        <v>0</v>
      </c>
    </row>
    <row r="62" spans="1:8" x14ac:dyDescent="0.25">
      <c r="A62">
        <v>61</v>
      </c>
      <c r="B62" t="s">
        <v>193</v>
      </c>
      <c r="C62" t="s">
        <v>194</v>
      </c>
      <c r="D62" t="s">
        <v>195</v>
      </c>
      <c r="E62" t="s">
        <v>192</v>
      </c>
      <c r="F62">
        <v>0</v>
      </c>
      <c r="G62">
        <v>0</v>
      </c>
      <c r="H62">
        <v>1</v>
      </c>
    </row>
    <row r="63" spans="1:8" x14ac:dyDescent="0.25">
      <c r="A63">
        <v>62</v>
      </c>
      <c r="B63" t="s">
        <v>196</v>
      </c>
      <c r="C63" t="s">
        <v>197</v>
      </c>
      <c r="D63" t="s">
        <v>198</v>
      </c>
      <c r="E63" t="s">
        <v>192</v>
      </c>
      <c r="F63">
        <v>0</v>
      </c>
      <c r="G63">
        <v>0</v>
      </c>
      <c r="H63">
        <v>0</v>
      </c>
    </row>
    <row r="64" spans="1:8" x14ac:dyDescent="0.25">
      <c r="A64">
        <v>63</v>
      </c>
      <c r="B64" t="s">
        <v>199</v>
      </c>
      <c r="C64" t="s">
        <v>200</v>
      </c>
      <c r="D64" t="s">
        <v>201</v>
      </c>
      <c r="E64" t="s">
        <v>192</v>
      </c>
      <c r="F64">
        <v>0</v>
      </c>
      <c r="G64">
        <v>0</v>
      </c>
      <c r="H64">
        <v>0</v>
      </c>
    </row>
    <row r="65" spans="1:8" x14ac:dyDescent="0.25">
      <c r="A65">
        <v>64</v>
      </c>
      <c r="B65" t="s">
        <v>202</v>
      </c>
      <c r="C65" t="s">
        <v>203</v>
      </c>
      <c r="D65" t="s">
        <v>204</v>
      </c>
      <c r="E65" t="s">
        <v>64</v>
      </c>
      <c r="F65">
        <v>0</v>
      </c>
      <c r="G65">
        <v>0</v>
      </c>
      <c r="H65">
        <v>0</v>
      </c>
    </row>
    <row r="66" spans="1:8" x14ac:dyDescent="0.25">
      <c r="A66">
        <v>65</v>
      </c>
      <c r="B66" t="s">
        <v>205</v>
      </c>
      <c r="C66" t="s">
        <v>206</v>
      </c>
      <c r="D66" t="s">
        <v>207</v>
      </c>
      <c r="E66" t="s">
        <v>64</v>
      </c>
      <c r="F66">
        <v>0</v>
      </c>
      <c r="G66">
        <v>0</v>
      </c>
      <c r="H66">
        <v>0</v>
      </c>
    </row>
    <row r="67" spans="1:8" x14ac:dyDescent="0.25">
      <c r="A67">
        <v>66</v>
      </c>
      <c r="B67" t="s">
        <v>208</v>
      </c>
      <c r="C67" t="s">
        <v>209</v>
      </c>
      <c r="D67" t="s">
        <v>210</v>
      </c>
      <c r="E67" t="s">
        <v>64</v>
      </c>
      <c r="F67">
        <v>0</v>
      </c>
      <c r="G67">
        <v>0</v>
      </c>
      <c r="H67">
        <v>0</v>
      </c>
    </row>
    <row r="68" spans="1:8" x14ac:dyDescent="0.25">
      <c r="A68">
        <v>67</v>
      </c>
      <c r="B68" t="s">
        <v>211</v>
      </c>
      <c r="C68" t="s">
        <v>212</v>
      </c>
      <c r="D68" t="s">
        <v>213</v>
      </c>
      <c r="E68" t="s">
        <v>214</v>
      </c>
      <c r="F68">
        <v>0</v>
      </c>
      <c r="G68">
        <v>0</v>
      </c>
      <c r="H68">
        <v>0</v>
      </c>
    </row>
    <row r="69" spans="1:8" x14ac:dyDescent="0.25">
      <c r="A69">
        <v>68</v>
      </c>
      <c r="B69" t="s">
        <v>215</v>
      </c>
      <c r="C69" t="s">
        <v>216</v>
      </c>
      <c r="D69" t="s">
        <v>217</v>
      </c>
      <c r="E69" t="s">
        <v>214</v>
      </c>
      <c r="F69">
        <v>0</v>
      </c>
      <c r="G69">
        <v>0</v>
      </c>
      <c r="H69">
        <v>0</v>
      </c>
    </row>
    <row r="70" spans="1:8" x14ac:dyDescent="0.25">
      <c r="A70">
        <v>69</v>
      </c>
      <c r="B70" t="s">
        <v>218</v>
      </c>
      <c r="C70" t="s">
        <v>219</v>
      </c>
      <c r="D70" t="s">
        <v>220</v>
      </c>
      <c r="E70" t="s">
        <v>214</v>
      </c>
      <c r="F70">
        <v>0</v>
      </c>
      <c r="G70">
        <v>0</v>
      </c>
      <c r="H70">
        <v>0</v>
      </c>
    </row>
    <row r="71" spans="1:8" x14ac:dyDescent="0.25">
      <c r="A71">
        <v>70</v>
      </c>
      <c r="B71" t="s">
        <v>221</v>
      </c>
      <c r="C71" t="s">
        <v>222</v>
      </c>
      <c r="D71" t="s">
        <v>223</v>
      </c>
      <c r="E71" t="s">
        <v>214</v>
      </c>
      <c r="F71">
        <v>0</v>
      </c>
      <c r="G71">
        <v>0</v>
      </c>
      <c r="H71">
        <v>0</v>
      </c>
    </row>
    <row r="72" spans="1:8" x14ac:dyDescent="0.25">
      <c r="A72">
        <v>71</v>
      </c>
      <c r="B72" t="s">
        <v>224</v>
      </c>
      <c r="C72" t="s">
        <v>225</v>
      </c>
      <c r="D72" t="s">
        <v>226</v>
      </c>
      <c r="E72" t="s">
        <v>214</v>
      </c>
      <c r="F72">
        <v>0</v>
      </c>
      <c r="G72">
        <v>0</v>
      </c>
      <c r="H72">
        <v>0</v>
      </c>
    </row>
    <row r="73" spans="1:8" x14ac:dyDescent="0.25">
      <c r="A73">
        <v>72</v>
      </c>
      <c r="B73" t="s">
        <v>227</v>
      </c>
      <c r="C73" t="s">
        <v>228</v>
      </c>
      <c r="D73" t="s">
        <v>229</v>
      </c>
      <c r="E73" t="s">
        <v>214</v>
      </c>
      <c r="F73">
        <v>0</v>
      </c>
      <c r="G73">
        <v>0</v>
      </c>
      <c r="H73">
        <v>0</v>
      </c>
    </row>
    <row r="74" spans="1:8" x14ac:dyDescent="0.25">
      <c r="A74">
        <v>73</v>
      </c>
      <c r="B74" t="s">
        <v>230</v>
      </c>
      <c r="C74" t="s">
        <v>231</v>
      </c>
      <c r="D74" t="s">
        <v>232</v>
      </c>
      <c r="E74" t="s">
        <v>214</v>
      </c>
      <c r="F74">
        <v>0</v>
      </c>
      <c r="G74">
        <v>0</v>
      </c>
      <c r="H74">
        <v>0</v>
      </c>
    </row>
    <row r="75" spans="1:8" x14ac:dyDescent="0.25">
      <c r="A75">
        <v>74</v>
      </c>
      <c r="B75" t="s">
        <v>233</v>
      </c>
      <c r="C75" t="s">
        <v>234</v>
      </c>
      <c r="D75" t="s">
        <v>235</v>
      </c>
      <c r="E75" t="s">
        <v>64</v>
      </c>
      <c r="F75">
        <v>0</v>
      </c>
      <c r="G75">
        <v>0</v>
      </c>
      <c r="H75">
        <v>0</v>
      </c>
    </row>
    <row r="76" spans="1:8" x14ac:dyDescent="0.25">
      <c r="A76">
        <v>75</v>
      </c>
      <c r="B76" t="s">
        <v>236</v>
      </c>
      <c r="C76" t="s">
        <v>237</v>
      </c>
      <c r="D76" t="s">
        <v>238</v>
      </c>
      <c r="E76" t="s">
        <v>64</v>
      </c>
      <c r="F76">
        <v>0</v>
      </c>
      <c r="G76">
        <v>0</v>
      </c>
      <c r="H76">
        <v>0</v>
      </c>
    </row>
    <row r="77" spans="1:8" x14ac:dyDescent="0.25">
      <c r="A77">
        <v>76</v>
      </c>
      <c r="B77" t="s">
        <v>239</v>
      </c>
      <c r="C77" t="s">
        <v>240</v>
      </c>
      <c r="D77" t="s">
        <v>241</v>
      </c>
      <c r="E77" t="s">
        <v>64</v>
      </c>
      <c r="F77">
        <v>0</v>
      </c>
      <c r="G77">
        <v>0</v>
      </c>
      <c r="H77">
        <v>0</v>
      </c>
    </row>
    <row r="78" spans="1:8" x14ac:dyDescent="0.25">
      <c r="A78">
        <v>77</v>
      </c>
      <c r="B78" t="s">
        <v>242</v>
      </c>
      <c r="C78" t="s">
        <v>243</v>
      </c>
      <c r="D78" t="s">
        <v>244</v>
      </c>
      <c r="E78" t="s">
        <v>64</v>
      </c>
      <c r="F78">
        <v>0</v>
      </c>
      <c r="G78">
        <v>0</v>
      </c>
      <c r="H78">
        <v>0</v>
      </c>
    </row>
    <row r="79" spans="1:8" x14ac:dyDescent="0.25">
      <c r="A79">
        <v>78</v>
      </c>
      <c r="B79" t="s">
        <v>245</v>
      </c>
      <c r="C79" t="s">
        <v>246</v>
      </c>
      <c r="D79" t="s">
        <v>247</v>
      </c>
      <c r="E79" t="s">
        <v>64</v>
      </c>
      <c r="F79">
        <v>0</v>
      </c>
      <c r="G79">
        <v>0</v>
      </c>
      <c r="H79">
        <v>0</v>
      </c>
    </row>
    <row r="80" spans="1:8" x14ac:dyDescent="0.25">
      <c r="A80">
        <v>79</v>
      </c>
      <c r="B80" t="s">
        <v>248</v>
      </c>
      <c r="C80" t="s">
        <v>249</v>
      </c>
      <c r="D80" t="s">
        <v>250</v>
      </c>
      <c r="E80" t="s">
        <v>64</v>
      </c>
      <c r="F80">
        <v>0</v>
      </c>
      <c r="G80">
        <v>0</v>
      </c>
      <c r="H80">
        <v>0</v>
      </c>
    </row>
    <row r="81" spans="1:8" x14ac:dyDescent="0.25">
      <c r="A81">
        <v>80</v>
      </c>
      <c r="B81" t="s">
        <v>251</v>
      </c>
      <c r="C81" t="s">
        <v>252</v>
      </c>
      <c r="D81" t="s">
        <v>253</v>
      </c>
      <c r="E81" t="s">
        <v>64</v>
      </c>
      <c r="F81">
        <v>0</v>
      </c>
      <c r="G81">
        <v>0</v>
      </c>
      <c r="H81">
        <v>0</v>
      </c>
    </row>
    <row r="82" spans="1:8" x14ac:dyDescent="0.25">
      <c r="A82">
        <v>81</v>
      </c>
      <c r="B82" t="s">
        <v>254</v>
      </c>
      <c r="C82" t="s">
        <v>255</v>
      </c>
      <c r="D82" t="s">
        <v>256</v>
      </c>
      <c r="E82" t="s">
        <v>64</v>
      </c>
      <c r="F82">
        <v>0</v>
      </c>
      <c r="G82">
        <v>0</v>
      </c>
      <c r="H82">
        <v>0</v>
      </c>
    </row>
    <row r="83" spans="1:8" x14ac:dyDescent="0.25">
      <c r="A83">
        <v>82</v>
      </c>
      <c r="B83" t="s">
        <v>257</v>
      </c>
      <c r="C83" t="s">
        <v>258</v>
      </c>
      <c r="D83" t="s">
        <v>259</v>
      </c>
      <c r="E83" t="s">
        <v>64</v>
      </c>
      <c r="F83">
        <v>0</v>
      </c>
      <c r="G83">
        <v>0</v>
      </c>
      <c r="H83">
        <v>0</v>
      </c>
    </row>
    <row r="84" spans="1:8" x14ac:dyDescent="0.25">
      <c r="A84">
        <v>83</v>
      </c>
      <c r="B84" t="s">
        <v>260</v>
      </c>
      <c r="C84" t="s">
        <v>261</v>
      </c>
      <c r="D84" t="s">
        <v>262</v>
      </c>
      <c r="E84" t="s">
        <v>64</v>
      </c>
      <c r="F84">
        <v>0</v>
      </c>
      <c r="G84">
        <v>0</v>
      </c>
      <c r="H84">
        <v>0</v>
      </c>
    </row>
    <row r="85" spans="1:8" x14ac:dyDescent="0.25">
      <c r="A85">
        <v>84</v>
      </c>
      <c r="B85" t="s">
        <v>263</v>
      </c>
      <c r="C85" t="s">
        <v>264</v>
      </c>
      <c r="D85" t="s">
        <v>265</v>
      </c>
      <c r="E85" t="s">
        <v>64</v>
      </c>
      <c r="F85">
        <v>0</v>
      </c>
      <c r="G85">
        <v>0</v>
      </c>
      <c r="H85">
        <v>0</v>
      </c>
    </row>
    <row r="86" spans="1:8" x14ac:dyDescent="0.25">
      <c r="A86">
        <v>85</v>
      </c>
      <c r="B86" t="s">
        <v>266</v>
      </c>
      <c r="C86" t="s">
        <v>267</v>
      </c>
      <c r="D86" t="s">
        <v>268</v>
      </c>
      <c r="E86" t="s">
        <v>64</v>
      </c>
      <c r="F86">
        <v>0</v>
      </c>
      <c r="G86">
        <v>0</v>
      </c>
      <c r="H86">
        <v>0</v>
      </c>
    </row>
    <row r="87" spans="1:8" x14ac:dyDescent="0.25">
      <c r="A87">
        <v>86</v>
      </c>
      <c r="B87" t="s">
        <v>269</v>
      </c>
      <c r="C87" t="s">
        <v>270</v>
      </c>
      <c r="D87" t="s">
        <v>271</v>
      </c>
      <c r="E87" t="s">
        <v>192</v>
      </c>
      <c r="F87">
        <v>0</v>
      </c>
      <c r="G87">
        <v>0</v>
      </c>
      <c r="H87">
        <v>0</v>
      </c>
    </row>
    <row r="88" spans="1:8" x14ac:dyDescent="0.25">
      <c r="A88">
        <v>87</v>
      </c>
      <c r="B88" t="s">
        <v>272</v>
      </c>
      <c r="C88" t="s">
        <v>273</v>
      </c>
      <c r="D88" t="s">
        <v>274</v>
      </c>
      <c r="E88" t="s">
        <v>192</v>
      </c>
      <c r="F88">
        <v>0</v>
      </c>
      <c r="G88">
        <v>0</v>
      </c>
      <c r="H88">
        <v>1</v>
      </c>
    </row>
    <row r="89" spans="1:8" x14ac:dyDescent="0.25">
      <c r="A89">
        <v>88</v>
      </c>
      <c r="B89" t="s">
        <v>275</v>
      </c>
      <c r="C89" t="s">
        <v>276</v>
      </c>
      <c r="D89" t="s">
        <v>277</v>
      </c>
      <c r="E89" t="s">
        <v>11</v>
      </c>
      <c r="F89">
        <v>0</v>
      </c>
      <c r="G89">
        <v>0</v>
      </c>
      <c r="H89">
        <v>0</v>
      </c>
    </row>
    <row r="90" spans="1:8" x14ac:dyDescent="0.25">
      <c r="A90">
        <v>89</v>
      </c>
      <c r="B90" t="s">
        <v>278</v>
      </c>
      <c r="C90" t="s">
        <v>279</v>
      </c>
      <c r="D90" t="s">
        <v>280</v>
      </c>
      <c r="E90" t="s">
        <v>11</v>
      </c>
      <c r="F90">
        <v>0</v>
      </c>
      <c r="G90">
        <v>0</v>
      </c>
      <c r="H90">
        <v>0</v>
      </c>
    </row>
    <row r="91" spans="1:8" x14ac:dyDescent="0.25">
      <c r="A91">
        <v>90</v>
      </c>
      <c r="B91" t="s">
        <v>281</v>
      </c>
      <c r="C91" t="s">
        <v>282</v>
      </c>
      <c r="D91" t="s">
        <v>283</v>
      </c>
      <c r="E91" t="s">
        <v>192</v>
      </c>
      <c r="F91">
        <v>0</v>
      </c>
      <c r="G91">
        <v>0</v>
      </c>
      <c r="H91">
        <v>0</v>
      </c>
    </row>
    <row r="92" spans="1:8" x14ac:dyDescent="0.25">
      <c r="A92">
        <v>91</v>
      </c>
      <c r="B92" t="s">
        <v>284</v>
      </c>
      <c r="C92" t="s">
        <v>285</v>
      </c>
      <c r="D92" t="s">
        <v>286</v>
      </c>
      <c r="E92" t="s">
        <v>64</v>
      </c>
      <c r="F92">
        <v>0</v>
      </c>
      <c r="G92">
        <v>0</v>
      </c>
      <c r="H92">
        <v>0</v>
      </c>
    </row>
    <row r="93" spans="1:8" x14ac:dyDescent="0.25">
      <c r="A93">
        <v>92</v>
      </c>
      <c r="B93" t="s">
        <v>287</v>
      </c>
      <c r="C93" t="s">
        <v>288</v>
      </c>
      <c r="D93" t="s">
        <v>289</v>
      </c>
      <c r="E93" t="s">
        <v>214</v>
      </c>
      <c r="F93">
        <v>0</v>
      </c>
      <c r="G93">
        <v>0</v>
      </c>
      <c r="H93">
        <v>0</v>
      </c>
    </row>
    <row r="94" spans="1:8" x14ac:dyDescent="0.25">
      <c r="A94">
        <v>93</v>
      </c>
      <c r="B94" t="s">
        <v>290</v>
      </c>
      <c r="C94" t="s">
        <v>291</v>
      </c>
      <c r="D94" t="s">
        <v>292</v>
      </c>
      <c r="E94" t="s">
        <v>214</v>
      </c>
      <c r="F94">
        <v>0</v>
      </c>
      <c r="G94">
        <v>0</v>
      </c>
      <c r="H94">
        <v>0</v>
      </c>
    </row>
    <row r="95" spans="1:8" x14ac:dyDescent="0.25">
      <c r="A95">
        <v>94</v>
      </c>
      <c r="B95" t="s">
        <v>293</v>
      </c>
      <c r="C95" t="s">
        <v>294</v>
      </c>
      <c r="D95" t="s">
        <v>295</v>
      </c>
      <c r="E95" t="s">
        <v>214</v>
      </c>
      <c r="F95">
        <v>0</v>
      </c>
      <c r="G95">
        <v>0</v>
      </c>
      <c r="H95">
        <v>0</v>
      </c>
    </row>
    <row r="96" spans="1:8" x14ac:dyDescent="0.25">
      <c r="A96">
        <v>95</v>
      </c>
      <c r="B96" t="s">
        <v>296</v>
      </c>
      <c r="C96" t="s">
        <v>297</v>
      </c>
      <c r="D96" t="s">
        <v>298</v>
      </c>
      <c r="E96" t="s">
        <v>214</v>
      </c>
      <c r="F96">
        <v>0</v>
      </c>
      <c r="G96">
        <v>0</v>
      </c>
      <c r="H96">
        <v>0</v>
      </c>
    </row>
    <row r="97" spans="1:8" x14ac:dyDescent="0.25">
      <c r="A97">
        <v>96</v>
      </c>
      <c r="B97" t="s">
        <v>299</v>
      </c>
      <c r="C97" t="s">
        <v>300</v>
      </c>
      <c r="D97" t="s">
        <v>301</v>
      </c>
      <c r="E97" t="s">
        <v>192</v>
      </c>
      <c r="F97">
        <v>0</v>
      </c>
      <c r="G97">
        <v>0</v>
      </c>
      <c r="H97">
        <v>0</v>
      </c>
    </row>
    <row r="98" spans="1:8" x14ac:dyDescent="0.25">
      <c r="A98">
        <v>97</v>
      </c>
      <c r="B98" t="s">
        <v>302</v>
      </c>
      <c r="C98" t="s">
        <v>303</v>
      </c>
      <c r="D98" t="s">
        <v>304</v>
      </c>
      <c r="E98" t="s">
        <v>110</v>
      </c>
      <c r="F98">
        <v>0</v>
      </c>
      <c r="G98">
        <v>0</v>
      </c>
      <c r="H98">
        <v>0</v>
      </c>
    </row>
    <row r="99" spans="1:8" x14ac:dyDescent="0.25">
      <c r="A99">
        <v>98</v>
      </c>
      <c r="B99" t="s">
        <v>305</v>
      </c>
      <c r="C99" t="s">
        <v>306</v>
      </c>
      <c r="D99" t="s">
        <v>307</v>
      </c>
      <c r="E99" t="s">
        <v>110</v>
      </c>
      <c r="F99">
        <v>0</v>
      </c>
      <c r="G99">
        <v>0</v>
      </c>
      <c r="H99">
        <v>1</v>
      </c>
    </row>
    <row r="100" spans="1:8" x14ac:dyDescent="0.25">
      <c r="A100">
        <v>99</v>
      </c>
      <c r="B100" t="s">
        <v>308</v>
      </c>
      <c r="C100" t="s">
        <v>309</v>
      </c>
      <c r="D100" t="s">
        <v>310</v>
      </c>
      <c r="E100" t="s">
        <v>110</v>
      </c>
      <c r="F100">
        <v>0</v>
      </c>
      <c r="G100">
        <v>0</v>
      </c>
      <c r="H100">
        <v>0</v>
      </c>
    </row>
    <row r="101" spans="1:8" x14ac:dyDescent="0.25">
      <c r="A101">
        <v>100</v>
      </c>
      <c r="B101" t="s">
        <v>311</v>
      </c>
      <c r="C101" t="s">
        <v>312</v>
      </c>
      <c r="D101" t="s">
        <v>313</v>
      </c>
      <c r="E101" t="s">
        <v>110</v>
      </c>
      <c r="F101">
        <v>0</v>
      </c>
      <c r="G101">
        <v>0</v>
      </c>
      <c r="H101">
        <v>0</v>
      </c>
    </row>
    <row r="102" spans="1:8" x14ac:dyDescent="0.25">
      <c r="A102">
        <v>101</v>
      </c>
      <c r="B102" t="s">
        <v>314</v>
      </c>
      <c r="C102" t="s">
        <v>315</v>
      </c>
      <c r="D102" t="s">
        <v>316</v>
      </c>
      <c r="E102" t="s">
        <v>110</v>
      </c>
      <c r="F102">
        <v>0</v>
      </c>
      <c r="G102">
        <v>0</v>
      </c>
      <c r="H102">
        <v>0</v>
      </c>
    </row>
    <row r="103" spans="1:8" x14ac:dyDescent="0.25">
      <c r="A103">
        <v>102</v>
      </c>
      <c r="B103" t="s">
        <v>317</v>
      </c>
      <c r="C103" t="s">
        <v>318</v>
      </c>
      <c r="D103" t="s">
        <v>319</v>
      </c>
      <c r="E103" t="s">
        <v>110</v>
      </c>
      <c r="F103">
        <v>0</v>
      </c>
      <c r="G103">
        <v>0</v>
      </c>
      <c r="H103">
        <v>1</v>
      </c>
    </row>
    <row r="104" spans="1:8" x14ac:dyDescent="0.25">
      <c r="A104">
        <v>103</v>
      </c>
      <c r="B104" t="s">
        <v>320</v>
      </c>
      <c r="C104" t="s">
        <v>321</v>
      </c>
      <c r="D104" t="s">
        <v>322</v>
      </c>
      <c r="E104" t="s">
        <v>110</v>
      </c>
      <c r="F104">
        <v>0</v>
      </c>
      <c r="G104">
        <v>0</v>
      </c>
      <c r="H104">
        <v>0</v>
      </c>
    </row>
    <row r="105" spans="1:8" x14ac:dyDescent="0.25">
      <c r="A105">
        <v>104</v>
      </c>
      <c r="B105" t="s">
        <v>323</v>
      </c>
      <c r="C105" t="s">
        <v>324</v>
      </c>
      <c r="D105" t="s">
        <v>325</v>
      </c>
      <c r="E105" t="s">
        <v>192</v>
      </c>
      <c r="F105">
        <v>0</v>
      </c>
      <c r="G105">
        <v>0</v>
      </c>
      <c r="H105">
        <v>0</v>
      </c>
    </row>
    <row r="106" spans="1:8" x14ac:dyDescent="0.25">
      <c r="A106">
        <v>105</v>
      </c>
      <c r="B106" t="s">
        <v>326</v>
      </c>
      <c r="C106" t="s">
        <v>327</v>
      </c>
      <c r="D106" t="s">
        <v>328</v>
      </c>
      <c r="E106" t="s">
        <v>192</v>
      </c>
      <c r="F106">
        <v>0</v>
      </c>
      <c r="G106">
        <v>0</v>
      </c>
      <c r="H106">
        <v>1</v>
      </c>
    </row>
    <row r="107" spans="1:8" x14ac:dyDescent="0.25">
      <c r="A107">
        <v>106</v>
      </c>
      <c r="B107" t="s">
        <v>329</v>
      </c>
      <c r="C107" t="s">
        <v>330</v>
      </c>
      <c r="D107" t="s">
        <v>331</v>
      </c>
      <c r="E107" t="s">
        <v>192</v>
      </c>
      <c r="F107">
        <v>0</v>
      </c>
      <c r="G107">
        <v>0</v>
      </c>
      <c r="H107">
        <v>0</v>
      </c>
    </row>
    <row r="108" spans="1:8" x14ac:dyDescent="0.25">
      <c r="A108">
        <v>107</v>
      </c>
      <c r="B108" t="s">
        <v>332</v>
      </c>
      <c r="C108" t="s">
        <v>333</v>
      </c>
      <c r="D108" t="s">
        <v>334</v>
      </c>
      <c r="E108" t="s">
        <v>192</v>
      </c>
      <c r="F108">
        <v>0</v>
      </c>
      <c r="G108">
        <v>0</v>
      </c>
      <c r="H108">
        <v>1</v>
      </c>
    </row>
    <row r="109" spans="1:8" x14ac:dyDescent="0.25">
      <c r="A109">
        <v>108</v>
      </c>
      <c r="B109" t="s">
        <v>335</v>
      </c>
      <c r="C109" t="s">
        <v>336</v>
      </c>
      <c r="D109" t="s">
        <v>337</v>
      </c>
      <c r="E109" t="s">
        <v>192</v>
      </c>
      <c r="F109">
        <v>0</v>
      </c>
      <c r="G109">
        <v>0</v>
      </c>
      <c r="H109">
        <v>0</v>
      </c>
    </row>
    <row r="110" spans="1:8" x14ac:dyDescent="0.25">
      <c r="A110">
        <v>109</v>
      </c>
      <c r="B110" t="s">
        <v>338</v>
      </c>
      <c r="C110" t="s">
        <v>339</v>
      </c>
      <c r="D110" t="s">
        <v>340</v>
      </c>
      <c r="E110" t="s">
        <v>192</v>
      </c>
      <c r="F110">
        <v>0</v>
      </c>
      <c r="G110">
        <v>0</v>
      </c>
      <c r="H110">
        <v>1</v>
      </c>
    </row>
    <row r="111" spans="1:8" x14ac:dyDescent="0.25">
      <c r="A111">
        <v>110</v>
      </c>
      <c r="B111" t="s">
        <v>341</v>
      </c>
      <c r="C111" t="s">
        <v>342</v>
      </c>
      <c r="D111" t="s">
        <v>343</v>
      </c>
      <c r="E111" t="s">
        <v>192</v>
      </c>
      <c r="F111">
        <v>0</v>
      </c>
      <c r="G111">
        <v>0</v>
      </c>
      <c r="H111">
        <v>0</v>
      </c>
    </row>
    <row r="112" spans="1:8" x14ac:dyDescent="0.25">
      <c r="A112">
        <v>111</v>
      </c>
      <c r="B112" t="s">
        <v>344</v>
      </c>
      <c r="C112" t="s">
        <v>345</v>
      </c>
      <c r="D112" t="s">
        <v>346</v>
      </c>
      <c r="E112" t="s">
        <v>192</v>
      </c>
      <c r="F112">
        <v>0</v>
      </c>
      <c r="G112">
        <v>0</v>
      </c>
      <c r="H112">
        <v>1</v>
      </c>
    </row>
    <row r="113" spans="1:8" x14ac:dyDescent="0.25">
      <c r="A113">
        <v>112</v>
      </c>
      <c r="B113" t="s">
        <v>347</v>
      </c>
      <c r="C113" t="s">
        <v>348</v>
      </c>
      <c r="D113" t="s">
        <v>349</v>
      </c>
      <c r="E113" t="s">
        <v>192</v>
      </c>
      <c r="F113">
        <v>0</v>
      </c>
      <c r="G113">
        <v>0</v>
      </c>
      <c r="H113">
        <v>0</v>
      </c>
    </row>
    <row r="114" spans="1:8" x14ac:dyDescent="0.25">
      <c r="A114">
        <v>113</v>
      </c>
      <c r="B114" t="s">
        <v>350</v>
      </c>
      <c r="C114" t="s">
        <v>351</v>
      </c>
      <c r="D114" t="s">
        <v>352</v>
      </c>
      <c r="E114" t="s">
        <v>192</v>
      </c>
      <c r="F114">
        <v>0</v>
      </c>
      <c r="G114">
        <v>0</v>
      </c>
      <c r="H114">
        <v>1</v>
      </c>
    </row>
    <row r="115" spans="1:8" x14ac:dyDescent="0.25">
      <c r="A115">
        <v>114</v>
      </c>
      <c r="B115" t="s">
        <v>353</v>
      </c>
      <c r="C115" t="s">
        <v>354</v>
      </c>
      <c r="D115" t="s">
        <v>355</v>
      </c>
      <c r="E115" t="s">
        <v>192</v>
      </c>
      <c r="F115">
        <v>0</v>
      </c>
      <c r="G115">
        <v>0</v>
      </c>
      <c r="H115">
        <v>0</v>
      </c>
    </row>
    <row r="116" spans="1:8" x14ac:dyDescent="0.25">
      <c r="A116">
        <v>115</v>
      </c>
      <c r="B116" t="s">
        <v>356</v>
      </c>
      <c r="C116" t="s">
        <v>357</v>
      </c>
      <c r="D116" t="s">
        <v>358</v>
      </c>
      <c r="E116" t="s">
        <v>192</v>
      </c>
      <c r="F116">
        <v>0</v>
      </c>
      <c r="G116">
        <v>0</v>
      </c>
      <c r="H116">
        <v>1</v>
      </c>
    </row>
    <row r="117" spans="1:8" x14ac:dyDescent="0.25">
      <c r="A117">
        <v>116</v>
      </c>
      <c r="B117" t="s">
        <v>359</v>
      </c>
      <c r="C117" t="s">
        <v>360</v>
      </c>
      <c r="D117" t="s">
        <v>361</v>
      </c>
      <c r="E117" t="s">
        <v>192</v>
      </c>
      <c r="F117">
        <v>0</v>
      </c>
      <c r="G117">
        <v>0</v>
      </c>
      <c r="H117">
        <v>0</v>
      </c>
    </row>
    <row r="118" spans="1:8" x14ac:dyDescent="0.25">
      <c r="A118">
        <v>117</v>
      </c>
      <c r="B118" t="s">
        <v>362</v>
      </c>
      <c r="C118" t="s">
        <v>363</v>
      </c>
      <c r="D118" t="s">
        <v>364</v>
      </c>
      <c r="E118" t="s">
        <v>192</v>
      </c>
      <c r="F118">
        <v>0</v>
      </c>
      <c r="G118">
        <v>0</v>
      </c>
      <c r="H118">
        <v>0</v>
      </c>
    </row>
    <row r="119" spans="1:8" x14ac:dyDescent="0.25">
      <c r="A119">
        <v>118</v>
      </c>
      <c r="B119" t="s">
        <v>365</v>
      </c>
      <c r="C119" t="s">
        <v>366</v>
      </c>
      <c r="D119" t="s">
        <v>367</v>
      </c>
      <c r="E119" t="s">
        <v>192</v>
      </c>
      <c r="F119">
        <v>0</v>
      </c>
      <c r="G119">
        <v>0</v>
      </c>
      <c r="H119">
        <v>0</v>
      </c>
    </row>
    <row r="120" spans="1:8" x14ac:dyDescent="0.25">
      <c r="A120">
        <v>119</v>
      </c>
      <c r="B120" t="s">
        <v>368</v>
      </c>
      <c r="C120" t="s">
        <v>369</v>
      </c>
      <c r="D120" t="s">
        <v>370</v>
      </c>
      <c r="E120" t="s">
        <v>192</v>
      </c>
      <c r="F120">
        <v>0</v>
      </c>
      <c r="G120">
        <v>0</v>
      </c>
      <c r="H120">
        <v>0</v>
      </c>
    </row>
    <row r="121" spans="1:8" x14ac:dyDescent="0.25">
      <c r="A121">
        <v>120</v>
      </c>
      <c r="B121" t="s">
        <v>371</v>
      </c>
      <c r="C121" t="s">
        <v>372</v>
      </c>
      <c r="D121" t="s">
        <v>373</v>
      </c>
      <c r="E121" t="s">
        <v>192</v>
      </c>
      <c r="F121">
        <v>0</v>
      </c>
      <c r="G121">
        <v>0</v>
      </c>
      <c r="H121">
        <v>0</v>
      </c>
    </row>
    <row r="122" spans="1:8" x14ac:dyDescent="0.25">
      <c r="A122">
        <v>121</v>
      </c>
      <c r="B122" t="s">
        <v>374</v>
      </c>
      <c r="C122" t="s">
        <v>375</v>
      </c>
      <c r="D122" t="s">
        <v>376</v>
      </c>
      <c r="E122" t="s">
        <v>192</v>
      </c>
      <c r="F122">
        <v>0</v>
      </c>
      <c r="G122">
        <v>0</v>
      </c>
      <c r="H122">
        <v>0</v>
      </c>
    </row>
    <row r="123" spans="1:8" x14ac:dyDescent="0.25">
      <c r="A123">
        <v>122</v>
      </c>
      <c r="B123" t="s">
        <v>377</v>
      </c>
      <c r="C123" t="s">
        <v>378</v>
      </c>
      <c r="D123" t="s">
        <v>379</v>
      </c>
      <c r="E123" t="s">
        <v>192</v>
      </c>
      <c r="F123">
        <v>0</v>
      </c>
      <c r="G123">
        <v>0</v>
      </c>
      <c r="H123">
        <v>0</v>
      </c>
    </row>
    <row r="124" spans="1:8" x14ac:dyDescent="0.25">
      <c r="A124">
        <v>123</v>
      </c>
      <c r="B124" t="s">
        <v>380</v>
      </c>
      <c r="C124" t="s">
        <v>381</v>
      </c>
      <c r="D124" t="s">
        <v>382</v>
      </c>
      <c r="E124" t="s">
        <v>192</v>
      </c>
      <c r="F124">
        <v>0</v>
      </c>
      <c r="G124">
        <v>0</v>
      </c>
      <c r="H124">
        <v>0</v>
      </c>
    </row>
    <row r="125" spans="1:8" x14ac:dyDescent="0.25">
      <c r="A125">
        <v>124</v>
      </c>
      <c r="B125" t="s">
        <v>383</v>
      </c>
      <c r="C125" t="s">
        <v>384</v>
      </c>
      <c r="D125" t="s">
        <v>385</v>
      </c>
      <c r="E125" t="s">
        <v>192</v>
      </c>
      <c r="F125">
        <v>0</v>
      </c>
      <c r="G125">
        <v>0</v>
      </c>
      <c r="H125">
        <v>0</v>
      </c>
    </row>
    <row r="126" spans="1:8" x14ac:dyDescent="0.25">
      <c r="A126">
        <v>125</v>
      </c>
      <c r="B126" t="s">
        <v>386</v>
      </c>
      <c r="C126" t="s">
        <v>387</v>
      </c>
      <c r="D126" t="s">
        <v>388</v>
      </c>
      <c r="E126" t="s">
        <v>192</v>
      </c>
      <c r="F126">
        <v>0</v>
      </c>
      <c r="G126">
        <v>0</v>
      </c>
      <c r="H126">
        <v>0</v>
      </c>
    </row>
    <row r="127" spans="1:8" x14ac:dyDescent="0.25">
      <c r="A127">
        <v>126</v>
      </c>
      <c r="B127" t="s">
        <v>389</v>
      </c>
      <c r="C127" t="s">
        <v>390</v>
      </c>
      <c r="D127" t="s">
        <v>391</v>
      </c>
      <c r="E127" t="s">
        <v>192</v>
      </c>
      <c r="F127">
        <v>0</v>
      </c>
      <c r="G127">
        <v>0</v>
      </c>
      <c r="H127">
        <v>0</v>
      </c>
    </row>
    <row r="128" spans="1:8" x14ac:dyDescent="0.25">
      <c r="A128">
        <v>127</v>
      </c>
      <c r="B128" t="s">
        <v>392</v>
      </c>
      <c r="C128" t="s">
        <v>393</v>
      </c>
      <c r="D128" t="s">
        <v>394</v>
      </c>
      <c r="E128" t="s">
        <v>192</v>
      </c>
      <c r="F128">
        <v>0</v>
      </c>
      <c r="G128">
        <v>0</v>
      </c>
      <c r="H128">
        <v>1</v>
      </c>
    </row>
    <row r="129" spans="1:8" x14ac:dyDescent="0.25">
      <c r="A129">
        <v>128</v>
      </c>
      <c r="B129" t="s">
        <v>395</v>
      </c>
      <c r="C129" t="s">
        <v>396</v>
      </c>
      <c r="D129" t="s">
        <v>397</v>
      </c>
      <c r="E129" t="s">
        <v>64</v>
      </c>
      <c r="F129">
        <v>0</v>
      </c>
      <c r="G129">
        <v>0</v>
      </c>
      <c r="H129">
        <v>0</v>
      </c>
    </row>
    <row r="130" spans="1:8" x14ac:dyDescent="0.25">
      <c r="A130">
        <v>129</v>
      </c>
      <c r="B130" t="s">
        <v>398</v>
      </c>
      <c r="C130" t="s">
        <v>399</v>
      </c>
      <c r="D130" t="s">
        <v>400</v>
      </c>
      <c r="E130" t="s">
        <v>64</v>
      </c>
      <c r="F130">
        <v>0</v>
      </c>
      <c r="G130">
        <v>0</v>
      </c>
      <c r="H130">
        <v>0</v>
      </c>
    </row>
    <row r="131" spans="1:8" x14ac:dyDescent="0.25">
      <c r="A131">
        <v>130</v>
      </c>
      <c r="B131" t="s">
        <v>401</v>
      </c>
      <c r="C131" t="s">
        <v>402</v>
      </c>
      <c r="D131" t="s">
        <v>403</v>
      </c>
      <c r="E131" t="s">
        <v>64</v>
      </c>
      <c r="F131">
        <v>0</v>
      </c>
      <c r="G131">
        <v>0</v>
      </c>
      <c r="H131">
        <v>0</v>
      </c>
    </row>
    <row r="132" spans="1:8" x14ac:dyDescent="0.25">
      <c r="A132">
        <v>131</v>
      </c>
      <c r="B132" t="s">
        <v>404</v>
      </c>
      <c r="C132" t="s">
        <v>405</v>
      </c>
      <c r="D132" t="s">
        <v>406</v>
      </c>
      <c r="E132" t="s">
        <v>64</v>
      </c>
      <c r="F132">
        <v>0</v>
      </c>
      <c r="G132">
        <v>0</v>
      </c>
      <c r="H132">
        <v>0</v>
      </c>
    </row>
    <row r="133" spans="1:8" x14ac:dyDescent="0.25">
      <c r="A133">
        <v>132</v>
      </c>
      <c r="B133" t="s">
        <v>407</v>
      </c>
      <c r="C133" t="s">
        <v>408</v>
      </c>
      <c r="D133" t="s">
        <v>409</v>
      </c>
      <c r="E133" t="s">
        <v>64</v>
      </c>
      <c r="F133">
        <v>0</v>
      </c>
      <c r="G133">
        <v>0</v>
      </c>
      <c r="H133">
        <v>0</v>
      </c>
    </row>
    <row r="134" spans="1:8" x14ac:dyDescent="0.25">
      <c r="A134">
        <v>133</v>
      </c>
      <c r="B134" t="s">
        <v>410</v>
      </c>
      <c r="C134" t="s">
        <v>411</v>
      </c>
      <c r="D134" t="s">
        <v>412</v>
      </c>
      <c r="E134" t="s">
        <v>64</v>
      </c>
      <c r="F134">
        <v>0</v>
      </c>
      <c r="G134">
        <v>0</v>
      </c>
      <c r="H134">
        <v>0</v>
      </c>
    </row>
    <row r="135" spans="1:8" x14ac:dyDescent="0.25">
      <c r="A135">
        <v>134</v>
      </c>
      <c r="B135" t="s">
        <v>413</v>
      </c>
      <c r="C135" t="s">
        <v>414</v>
      </c>
      <c r="D135" t="s">
        <v>415</v>
      </c>
      <c r="E135" t="s">
        <v>64</v>
      </c>
      <c r="F135">
        <v>0</v>
      </c>
      <c r="G135">
        <v>0</v>
      </c>
      <c r="H135">
        <v>0</v>
      </c>
    </row>
    <row r="136" spans="1:8" x14ac:dyDescent="0.25">
      <c r="A136">
        <v>135</v>
      </c>
      <c r="B136" t="s">
        <v>416</v>
      </c>
      <c r="C136" t="s">
        <v>417</v>
      </c>
      <c r="D136" t="s">
        <v>418</v>
      </c>
      <c r="E136" t="s">
        <v>64</v>
      </c>
      <c r="F136">
        <v>0</v>
      </c>
      <c r="G136">
        <v>0</v>
      </c>
      <c r="H136">
        <v>0</v>
      </c>
    </row>
    <row r="137" spans="1:8" x14ac:dyDescent="0.25">
      <c r="A137">
        <v>136</v>
      </c>
      <c r="B137" t="s">
        <v>419</v>
      </c>
      <c r="C137" t="s">
        <v>420</v>
      </c>
      <c r="D137" t="s">
        <v>421</v>
      </c>
      <c r="E137" t="s">
        <v>64</v>
      </c>
      <c r="F137">
        <v>0</v>
      </c>
      <c r="G137">
        <v>0</v>
      </c>
      <c r="H137">
        <v>0</v>
      </c>
    </row>
    <row r="138" spans="1:8" x14ac:dyDescent="0.25">
      <c r="A138">
        <v>137</v>
      </c>
      <c r="B138" t="s">
        <v>422</v>
      </c>
      <c r="C138" t="s">
        <v>423</v>
      </c>
      <c r="D138" t="s">
        <v>424</v>
      </c>
      <c r="E138" t="s">
        <v>64</v>
      </c>
      <c r="F138">
        <v>0</v>
      </c>
      <c r="G138">
        <v>0</v>
      </c>
      <c r="H138">
        <v>0</v>
      </c>
    </row>
    <row r="139" spans="1:8" x14ac:dyDescent="0.25">
      <c r="A139">
        <v>138</v>
      </c>
      <c r="B139" t="s">
        <v>425</v>
      </c>
      <c r="C139" t="s">
        <v>426</v>
      </c>
      <c r="D139" t="s">
        <v>427</v>
      </c>
      <c r="E139" t="s">
        <v>64</v>
      </c>
      <c r="F139">
        <v>0</v>
      </c>
      <c r="G139">
        <v>0</v>
      </c>
      <c r="H139">
        <v>0</v>
      </c>
    </row>
    <row r="140" spans="1:8" x14ac:dyDescent="0.25">
      <c r="A140">
        <v>139</v>
      </c>
      <c r="B140" t="s">
        <v>428</v>
      </c>
      <c r="C140" t="s">
        <v>429</v>
      </c>
      <c r="D140" t="s">
        <v>430</v>
      </c>
      <c r="E140" t="s">
        <v>64</v>
      </c>
      <c r="F140">
        <v>0</v>
      </c>
      <c r="G140">
        <v>0</v>
      </c>
      <c r="H140">
        <v>0</v>
      </c>
    </row>
    <row r="141" spans="1:8" x14ac:dyDescent="0.25">
      <c r="A141">
        <v>140</v>
      </c>
      <c r="B141" t="s">
        <v>431</v>
      </c>
      <c r="C141" t="s">
        <v>432</v>
      </c>
      <c r="D141" t="s">
        <v>433</v>
      </c>
      <c r="E141" t="s">
        <v>64</v>
      </c>
      <c r="F141">
        <v>0</v>
      </c>
      <c r="G141">
        <v>0</v>
      </c>
      <c r="H141">
        <v>0</v>
      </c>
    </row>
    <row r="142" spans="1:8" x14ac:dyDescent="0.25">
      <c r="A142">
        <v>141</v>
      </c>
      <c r="B142" t="s">
        <v>434</v>
      </c>
      <c r="C142" t="s">
        <v>435</v>
      </c>
      <c r="D142" t="s">
        <v>436</v>
      </c>
      <c r="E142" t="s">
        <v>64</v>
      </c>
      <c r="F142">
        <v>0</v>
      </c>
      <c r="G142">
        <v>0</v>
      </c>
      <c r="H142">
        <v>0</v>
      </c>
    </row>
    <row r="143" spans="1:8" x14ac:dyDescent="0.25">
      <c r="A143">
        <v>142</v>
      </c>
      <c r="B143" t="s">
        <v>437</v>
      </c>
      <c r="C143" t="s">
        <v>438</v>
      </c>
      <c r="D143" t="s">
        <v>439</v>
      </c>
      <c r="E143" t="s">
        <v>64</v>
      </c>
      <c r="F143">
        <v>0</v>
      </c>
      <c r="G143">
        <v>0</v>
      </c>
      <c r="H143">
        <v>0</v>
      </c>
    </row>
    <row r="144" spans="1:8" x14ac:dyDescent="0.25">
      <c r="A144">
        <v>143</v>
      </c>
      <c r="B144" t="s">
        <v>440</v>
      </c>
      <c r="C144" t="s">
        <v>441</v>
      </c>
      <c r="D144" t="s">
        <v>442</v>
      </c>
      <c r="E144" t="s">
        <v>64</v>
      </c>
      <c r="F144">
        <v>0</v>
      </c>
      <c r="G144">
        <v>0</v>
      </c>
      <c r="H144">
        <v>0</v>
      </c>
    </row>
    <row r="145" spans="1:8" x14ac:dyDescent="0.25">
      <c r="A145">
        <v>144</v>
      </c>
      <c r="B145" t="s">
        <v>443</v>
      </c>
      <c r="C145" t="s">
        <v>444</v>
      </c>
      <c r="D145" t="s">
        <v>445</v>
      </c>
      <c r="E145" t="s">
        <v>64</v>
      </c>
      <c r="F145">
        <v>0</v>
      </c>
      <c r="G145">
        <v>0</v>
      </c>
      <c r="H145">
        <v>0</v>
      </c>
    </row>
    <row r="146" spans="1:8" x14ac:dyDescent="0.25">
      <c r="A146">
        <v>145</v>
      </c>
      <c r="B146" t="s">
        <v>446</v>
      </c>
      <c r="C146" t="s">
        <v>447</v>
      </c>
      <c r="D146" t="s">
        <v>448</v>
      </c>
      <c r="E146" t="s">
        <v>64</v>
      </c>
      <c r="F146">
        <v>0</v>
      </c>
      <c r="G146">
        <v>0</v>
      </c>
      <c r="H146">
        <v>0</v>
      </c>
    </row>
    <row r="147" spans="1:8" x14ac:dyDescent="0.25">
      <c r="A147">
        <v>146</v>
      </c>
      <c r="B147" t="s">
        <v>449</v>
      </c>
      <c r="C147" t="s">
        <v>450</v>
      </c>
      <c r="D147" t="s">
        <v>451</v>
      </c>
      <c r="E147" t="s">
        <v>64</v>
      </c>
      <c r="F147">
        <v>0</v>
      </c>
      <c r="G147">
        <v>0</v>
      </c>
      <c r="H147">
        <v>0</v>
      </c>
    </row>
    <row r="148" spans="1:8" x14ac:dyDescent="0.25">
      <c r="A148">
        <v>147</v>
      </c>
      <c r="B148" t="s">
        <v>452</v>
      </c>
      <c r="C148" t="s">
        <v>453</v>
      </c>
      <c r="D148" t="s">
        <v>454</v>
      </c>
      <c r="E148" t="s">
        <v>64</v>
      </c>
      <c r="F148">
        <v>1</v>
      </c>
      <c r="G148">
        <v>0</v>
      </c>
      <c r="H148">
        <v>0</v>
      </c>
    </row>
    <row r="149" spans="1:8" x14ac:dyDescent="0.25">
      <c r="A149">
        <v>148</v>
      </c>
      <c r="B149" t="s">
        <v>455</v>
      </c>
      <c r="C149" t="s">
        <v>456</v>
      </c>
      <c r="D149" t="s">
        <v>457</v>
      </c>
      <c r="E149" t="s">
        <v>64</v>
      </c>
      <c r="F149">
        <v>0</v>
      </c>
      <c r="G149">
        <v>0</v>
      </c>
      <c r="H149">
        <v>0</v>
      </c>
    </row>
    <row r="150" spans="1:8" x14ac:dyDescent="0.25">
      <c r="A150">
        <v>149</v>
      </c>
      <c r="B150" t="s">
        <v>458</v>
      </c>
      <c r="C150" t="s">
        <v>459</v>
      </c>
      <c r="D150" t="s">
        <v>460</v>
      </c>
      <c r="E150" t="s">
        <v>64</v>
      </c>
      <c r="F150">
        <v>0</v>
      </c>
      <c r="G150">
        <v>0</v>
      </c>
      <c r="H150">
        <v>0</v>
      </c>
    </row>
    <row r="151" spans="1:8" x14ac:dyDescent="0.25">
      <c r="A151">
        <v>150</v>
      </c>
      <c r="B151" t="s">
        <v>461</v>
      </c>
      <c r="C151" t="s">
        <v>462</v>
      </c>
      <c r="D151" t="s">
        <v>463</v>
      </c>
      <c r="E151" t="s">
        <v>110</v>
      </c>
      <c r="F151">
        <v>0</v>
      </c>
      <c r="G151">
        <v>0</v>
      </c>
      <c r="H151">
        <v>0</v>
      </c>
    </row>
    <row r="152" spans="1:8" x14ac:dyDescent="0.25">
      <c r="A152">
        <v>151</v>
      </c>
      <c r="B152" t="s">
        <v>464</v>
      </c>
      <c r="C152" t="s">
        <v>465</v>
      </c>
      <c r="D152" t="s">
        <v>466</v>
      </c>
      <c r="E152" t="s">
        <v>110</v>
      </c>
      <c r="F152">
        <v>0</v>
      </c>
      <c r="G152">
        <v>0</v>
      </c>
      <c r="H152">
        <v>1</v>
      </c>
    </row>
    <row r="153" spans="1:8" x14ac:dyDescent="0.25">
      <c r="A153">
        <v>152</v>
      </c>
      <c r="B153" t="s">
        <v>467</v>
      </c>
      <c r="C153" t="s">
        <v>468</v>
      </c>
      <c r="D153" t="s">
        <v>469</v>
      </c>
      <c r="E153" t="s">
        <v>470</v>
      </c>
      <c r="F153">
        <v>1</v>
      </c>
      <c r="G153">
        <v>0</v>
      </c>
      <c r="H153">
        <v>0</v>
      </c>
    </row>
    <row r="154" spans="1:8" x14ac:dyDescent="0.25">
      <c r="A154">
        <v>153</v>
      </c>
      <c r="B154" t="s">
        <v>471</v>
      </c>
      <c r="C154" t="s">
        <v>472</v>
      </c>
      <c r="D154" t="s">
        <v>473</v>
      </c>
      <c r="E154" t="s">
        <v>470</v>
      </c>
      <c r="F154">
        <v>1</v>
      </c>
      <c r="G154">
        <v>0</v>
      </c>
      <c r="H154">
        <v>0</v>
      </c>
    </row>
    <row r="155" spans="1:8" x14ac:dyDescent="0.25">
      <c r="A155">
        <v>154</v>
      </c>
      <c r="B155" t="s">
        <v>474</v>
      </c>
      <c r="C155" t="s">
        <v>475</v>
      </c>
      <c r="D155" t="s">
        <v>476</v>
      </c>
      <c r="E155" t="s">
        <v>470</v>
      </c>
      <c r="F155">
        <v>1</v>
      </c>
      <c r="G155">
        <v>0</v>
      </c>
      <c r="H155">
        <v>0</v>
      </c>
    </row>
    <row r="156" spans="1:8" x14ac:dyDescent="0.25">
      <c r="A156">
        <v>155</v>
      </c>
      <c r="B156" t="s">
        <v>477</v>
      </c>
      <c r="C156" t="s">
        <v>478</v>
      </c>
      <c r="D156" t="s">
        <v>479</v>
      </c>
      <c r="E156" t="s">
        <v>470</v>
      </c>
      <c r="F156">
        <v>1</v>
      </c>
      <c r="G156">
        <v>0</v>
      </c>
      <c r="H156">
        <v>0</v>
      </c>
    </row>
    <row r="157" spans="1:8" x14ac:dyDescent="0.25">
      <c r="A157">
        <v>156</v>
      </c>
      <c r="B157" t="s">
        <v>480</v>
      </c>
      <c r="C157" t="s">
        <v>481</v>
      </c>
      <c r="D157" t="s">
        <v>482</v>
      </c>
      <c r="E157" t="s">
        <v>483</v>
      </c>
      <c r="F157">
        <v>0</v>
      </c>
      <c r="G157">
        <v>0</v>
      </c>
      <c r="H157">
        <v>0</v>
      </c>
    </row>
    <row r="158" spans="1:8" x14ac:dyDescent="0.25">
      <c r="A158">
        <v>157</v>
      </c>
      <c r="B158" t="s">
        <v>484</v>
      </c>
      <c r="C158" t="s">
        <v>485</v>
      </c>
      <c r="D158" t="s">
        <v>486</v>
      </c>
      <c r="E158" t="s">
        <v>214</v>
      </c>
      <c r="F158">
        <v>0</v>
      </c>
      <c r="G158">
        <v>1</v>
      </c>
      <c r="H158">
        <v>0</v>
      </c>
    </row>
    <row r="159" spans="1:8" x14ac:dyDescent="0.25">
      <c r="A159">
        <v>158</v>
      </c>
      <c r="B159" t="s">
        <v>487</v>
      </c>
      <c r="C159" t="s">
        <v>488</v>
      </c>
      <c r="D159" t="s">
        <v>489</v>
      </c>
      <c r="E159" t="s">
        <v>214</v>
      </c>
      <c r="F159">
        <v>0</v>
      </c>
      <c r="G159">
        <v>1</v>
      </c>
      <c r="H159">
        <v>0</v>
      </c>
    </row>
    <row r="160" spans="1:8" x14ac:dyDescent="0.25">
      <c r="A160">
        <v>159</v>
      </c>
      <c r="B160" t="s">
        <v>490</v>
      </c>
      <c r="C160" t="s">
        <v>491</v>
      </c>
      <c r="D160" t="s">
        <v>492</v>
      </c>
      <c r="E160" t="s">
        <v>214</v>
      </c>
      <c r="F160">
        <v>0</v>
      </c>
      <c r="G160">
        <v>1</v>
      </c>
      <c r="H160">
        <v>0</v>
      </c>
    </row>
    <row r="161" spans="1:8" x14ac:dyDescent="0.25">
      <c r="A161">
        <v>160</v>
      </c>
      <c r="B161" t="s">
        <v>493</v>
      </c>
      <c r="C161" t="s">
        <v>494</v>
      </c>
      <c r="D161" t="s">
        <v>495</v>
      </c>
      <c r="E161" t="s">
        <v>214</v>
      </c>
      <c r="F161">
        <v>0</v>
      </c>
      <c r="G161">
        <v>1</v>
      </c>
      <c r="H161">
        <v>0</v>
      </c>
    </row>
    <row r="162" spans="1:8" x14ac:dyDescent="0.25">
      <c r="A162">
        <v>161</v>
      </c>
      <c r="B162" t="s">
        <v>496</v>
      </c>
      <c r="C162" t="s">
        <v>497</v>
      </c>
      <c r="D162" t="s">
        <v>498</v>
      </c>
      <c r="E162" t="s">
        <v>214</v>
      </c>
      <c r="F162">
        <v>0</v>
      </c>
      <c r="G162">
        <v>1</v>
      </c>
      <c r="H162">
        <v>0</v>
      </c>
    </row>
    <row r="163" spans="1:8" x14ac:dyDescent="0.25">
      <c r="A163">
        <v>162</v>
      </c>
      <c r="B163" t="s">
        <v>499</v>
      </c>
      <c r="C163" t="s">
        <v>500</v>
      </c>
      <c r="D163" t="s">
        <v>501</v>
      </c>
      <c r="E163" t="s">
        <v>214</v>
      </c>
      <c r="F163">
        <v>0</v>
      </c>
      <c r="G163">
        <v>1</v>
      </c>
      <c r="H163">
        <v>0</v>
      </c>
    </row>
    <row r="164" spans="1:8" x14ac:dyDescent="0.25">
      <c r="A164">
        <v>163</v>
      </c>
      <c r="B164" t="s">
        <v>502</v>
      </c>
      <c r="C164" t="s">
        <v>503</v>
      </c>
      <c r="D164" t="s">
        <v>504</v>
      </c>
      <c r="E164" t="s">
        <v>483</v>
      </c>
      <c r="F164">
        <v>0</v>
      </c>
      <c r="G164">
        <v>1</v>
      </c>
      <c r="H164">
        <v>0</v>
      </c>
    </row>
    <row r="165" spans="1:8" x14ac:dyDescent="0.25">
      <c r="A165">
        <v>164</v>
      </c>
      <c r="B165" t="s">
        <v>505</v>
      </c>
      <c r="C165" t="s">
        <v>506</v>
      </c>
      <c r="D165" t="s">
        <v>507</v>
      </c>
      <c r="E165" t="s">
        <v>483</v>
      </c>
      <c r="F165">
        <v>0</v>
      </c>
      <c r="G165">
        <v>0</v>
      </c>
      <c r="H165">
        <v>0</v>
      </c>
    </row>
    <row r="166" spans="1:8" x14ac:dyDescent="0.25">
      <c r="A166">
        <v>165</v>
      </c>
      <c r="B166" t="s">
        <v>508</v>
      </c>
      <c r="C166" t="s">
        <v>509</v>
      </c>
      <c r="D166" t="s">
        <v>510</v>
      </c>
      <c r="E166" t="s">
        <v>483</v>
      </c>
      <c r="F166">
        <v>0</v>
      </c>
      <c r="G166">
        <v>0</v>
      </c>
      <c r="H166">
        <v>0</v>
      </c>
    </row>
    <row r="167" spans="1:8" x14ac:dyDescent="0.25">
      <c r="A167">
        <v>166</v>
      </c>
      <c r="B167" t="s">
        <v>511</v>
      </c>
      <c r="C167" t="s">
        <v>512</v>
      </c>
      <c r="D167" t="s">
        <v>513</v>
      </c>
      <c r="E167" t="s">
        <v>483</v>
      </c>
      <c r="F167">
        <v>0</v>
      </c>
      <c r="G167">
        <v>0</v>
      </c>
      <c r="H167">
        <v>0</v>
      </c>
    </row>
    <row r="168" spans="1:8" x14ac:dyDescent="0.25">
      <c r="A168">
        <v>167</v>
      </c>
      <c r="B168" t="s">
        <v>514</v>
      </c>
      <c r="C168" t="s">
        <v>515</v>
      </c>
      <c r="D168" t="s">
        <v>516</v>
      </c>
      <c r="E168" t="s">
        <v>483</v>
      </c>
      <c r="F168">
        <v>0</v>
      </c>
      <c r="G168">
        <v>0</v>
      </c>
      <c r="H168">
        <v>0</v>
      </c>
    </row>
    <row r="169" spans="1:8" x14ac:dyDescent="0.25">
      <c r="A169">
        <v>168</v>
      </c>
      <c r="B169" t="s">
        <v>517</v>
      </c>
      <c r="C169" t="s">
        <v>518</v>
      </c>
      <c r="D169" t="s">
        <v>519</v>
      </c>
      <c r="E169" t="s">
        <v>483</v>
      </c>
      <c r="F169">
        <v>0</v>
      </c>
      <c r="G169">
        <v>0</v>
      </c>
      <c r="H169">
        <v>0</v>
      </c>
    </row>
    <row r="170" spans="1:8" x14ac:dyDescent="0.25">
      <c r="A170">
        <v>169</v>
      </c>
      <c r="B170" t="s">
        <v>520</v>
      </c>
      <c r="C170" t="s">
        <v>521</v>
      </c>
      <c r="D170" t="s">
        <v>522</v>
      </c>
      <c r="E170" t="s">
        <v>483</v>
      </c>
      <c r="F170">
        <v>0</v>
      </c>
      <c r="G170">
        <v>0</v>
      </c>
      <c r="H170">
        <v>0</v>
      </c>
    </row>
    <row r="171" spans="1:8" x14ac:dyDescent="0.25">
      <c r="A171">
        <v>170</v>
      </c>
      <c r="B171" t="s">
        <v>523</v>
      </c>
      <c r="C171" t="s">
        <v>524</v>
      </c>
      <c r="D171" t="s">
        <v>525</v>
      </c>
      <c r="E171" t="s">
        <v>483</v>
      </c>
      <c r="F171">
        <v>0</v>
      </c>
      <c r="G171">
        <v>0</v>
      </c>
      <c r="H171">
        <v>0</v>
      </c>
    </row>
    <row r="172" spans="1:8" x14ac:dyDescent="0.25">
      <c r="A172">
        <v>171</v>
      </c>
      <c r="B172" t="s">
        <v>526</v>
      </c>
      <c r="C172" t="s">
        <v>527</v>
      </c>
      <c r="D172" t="s">
        <v>528</v>
      </c>
      <c r="E172" t="s">
        <v>483</v>
      </c>
      <c r="F172">
        <v>0</v>
      </c>
      <c r="G172">
        <v>0</v>
      </c>
      <c r="H172">
        <v>0</v>
      </c>
    </row>
    <row r="173" spans="1:8" x14ac:dyDescent="0.25">
      <c r="A173">
        <v>172</v>
      </c>
      <c r="B173" t="s">
        <v>529</v>
      </c>
      <c r="C173" t="s">
        <v>530</v>
      </c>
      <c r="D173" t="s">
        <v>531</v>
      </c>
      <c r="E173" t="s">
        <v>483</v>
      </c>
      <c r="F173">
        <v>0</v>
      </c>
      <c r="G173">
        <v>0</v>
      </c>
      <c r="H173">
        <v>0</v>
      </c>
    </row>
    <row r="174" spans="1:8" x14ac:dyDescent="0.25">
      <c r="A174">
        <v>173</v>
      </c>
      <c r="B174" t="s">
        <v>532</v>
      </c>
      <c r="C174" t="s">
        <v>533</v>
      </c>
      <c r="D174" t="s">
        <v>534</v>
      </c>
      <c r="E174" t="s">
        <v>483</v>
      </c>
      <c r="F174">
        <v>0</v>
      </c>
      <c r="G174">
        <v>0</v>
      </c>
      <c r="H174">
        <v>0</v>
      </c>
    </row>
    <row r="175" spans="1:8" x14ac:dyDescent="0.25">
      <c r="A175">
        <v>174</v>
      </c>
      <c r="B175" t="s">
        <v>535</v>
      </c>
      <c r="C175" t="s">
        <v>536</v>
      </c>
      <c r="D175" t="s">
        <v>537</v>
      </c>
      <c r="E175" t="s">
        <v>483</v>
      </c>
      <c r="F175">
        <v>0</v>
      </c>
      <c r="G175">
        <v>0</v>
      </c>
      <c r="H175">
        <v>0</v>
      </c>
    </row>
    <row r="176" spans="1:8" x14ac:dyDescent="0.25">
      <c r="A176">
        <v>175</v>
      </c>
      <c r="B176" t="s">
        <v>538</v>
      </c>
      <c r="C176" t="s">
        <v>539</v>
      </c>
      <c r="D176" t="s">
        <v>540</v>
      </c>
      <c r="E176" t="s">
        <v>483</v>
      </c>
      <c r="F176">
        <v>0</v>
      </c>
      <c r="G176">
        <v>0</v>
      </c>
      <c r="H176">
        <v>0</v>
      </c>
    </row>
    <row r="177" spans="1:8" x14ac:dyDescent="0.25">
      <c r="A177">
        <v>176</v>
      </c>
      <c r="B177" t="s">
        <v>541</v>
      </c>
      <c r="C177" t="s">
        <v>542</v>
      </c>
      <c r="D177" t="s">
        <v>543</v>
      </c>
      <c r="E177" t="s">
        <v>64</v>
      </c>
      <c r="F177">
        <v>0</v>
      </c>
      <c r="G177">
        <v>0</v>
      </c>
      <c r="H177">
        <v>0</v>
      </c>
    </row>
    <row r="178" spans="1:8" x14ac:dyDescent="0.25">
      <c r="A178">
        <v>177</v>
      </c>
      <c r="B178" t="s">
        <v>544</v>
      </c>
      <c r="C178" t="s">
        <v>545</v>
      </c>
      <c r="D178" t="s">
        <v>546</v>
      </c>
      <c r="E178" t="s">
        <v>64</v>
      </c>
      <c r="F178">
        <v>0</v>
      </c>
      <c r="G178">
        <v>0</v>
      </c>
      <c r="H178">
        <v>0</v>
      </c>
    </row>
    <row r="179" spans="1:8" x14ac:dyDescent="0.25">
      <c r="A179">
        <v>178</v>
      </c>
      <c r="B179" t="s">
        <v>547</v>
      </c>
      <c r="C179" t="s">
        <v>548</v>
      </c>
      <c r="D179" t="s">
        <v>549</v>
      </c>
      <c r="E179" t="s">
        <v>64</v>
      </c>
      <c r="F179">
        <v>0</v>
      </c>
      <c r="G179">
        <v>0</v>
      </c>
      <c r="H179">
        <v>0</v>
      </c>
    </row>
    <row r="180" spans="1:8" x14ac:dyDescent="0.25">
      <c r="A180">
        <v>179</v>
      </c>
      <c r="B180" t="s">
        <v>550</v>
      </c>
      <c r="C180" t="s">
        <v>551</v>
      </c>
      <c r="D180" t="s">
        <v>552</v>
      </c>
      <c r="E180" t="s">
        <v>64</v>
      </c>
      <c r="F180">
        <v>0</v>
      </c>
      <c r="G180">
        <v>0</v>
      </c>
      <c r="H180">
        <v>0</v>
      </c>
    </row>
    <row r="181" spans="1:8" x14ac:dyDescent="0.25">
      <c r="A181">
        <v>180</v>
      </c>
      <c r="B181" t="s">
        <v>553</v>
      </c>
      <c r="C181" t="s">
        <v>554</v>
      </c>
      <c r="D181" t="s">
        <v>555</v>
      </c>
      <c r="E181" t="s">
        <v>64</v>
      </c>
      <c r="F181">
        <v>0</v>
      </c>
      <c r="G181">
        <v>0</v>
      </c>
      <c r="H181">
        <v>0</v>
      </c>
    </row>
    <row r="182" spans="1:8" x14ac:dyDescent="0.25">
      <c r="A182">
        <v>181</v>
      </c>
      <c r="B182" t="s">
        <v>556</v>
      </c>
      <c r="C182" t="s">
        <v>557</v>
      </c>
      <c r="D182" t="s">
        <v>558</v>
      </c>
      <c r="E182" t="s">
        <v>64</v>
      </c>
      <c r="F182">
        <v>0</v>
      </c>
      <c r="G182">
        <v>0</v>
      </c>
      <c r="H182">
        <v>0</v>
      </c>
    </row>
    <row r="183" spans="1:8" x14ac:dyDescent="0.25">
      <c r="A183">
        <v>182</v>
      </c>
      <c r="B183" t="s">
        <v>559</v>
      </c>
      <c r="C183" t="s">
        <v>560</v>
      </c>
      <c r="D183" t="s">
        <v>561</v>
      </c>
      <c r="E183" t="s">
        <v>64</v>
      </c>
      <c r="F183">
        <v>0</v>
      </c>
      <c r="G183">
        <v>0</v>
      </c>
      <c r="H183">
        <v>0</v>
      </c>
    </row>
    <row r="184" spans="1:8" x14ac:dyDescent="0.25">
      <c r="A184">
        <v>183</v>
      </c>
      <c r="B184" t="s">
        <v>562</v>
      </c>
      <c r="C184" t="s">
        <v>563</v>
      </c>
      <c r="D184" t="s">
        <v>564</v>
      </c>
      <c r="E184" t="s">
        <v>64</v>
      </c>
      <c r="F184">
        <v>0</v>
      </c>
      <c r="G184">
        <v>0</v>
      </c>
      <c r="H184">
        <v>0</v>
      </c>
    </row>
    <row r="185" spans="1:8" x14ac:dyDescent="0.25">
      <c r="A185">
        <v>184</v>
      </c>
      <c r="B185" t="s">
        <v>565</v>
      </c>
      <c r="C185" t="s">
        <v>566</v>
      </c>
      <c r="D185" t="s">
        <v>567</v>
      </c>
      <c r="E185" t="s">
        <v>64</v>
      </c>
      <c r="F185">
        <v>0</v>
      </c>
      <c r="G185">
        <v>0</v>
      </c>
      <c r="H185">
        <v>0</v>
      </c>
    </row>
    <row r="186" spans="1:8" x14ac:dyDescent="0.25">
      <c r="A186">
        <v>185</v>
      </c>
      <c r="B186" t="s">
        <v>568</v>
      </c>
      <c r="C186" t="s">
        <v>569</v>
      </c>
      <c r="D186" t="s">
        <v>570</v>
      </c>
      <c r="E186" t="s">
        <v>64</v>
      </c>
      <c r="F186">
        <v>0</v>
      </c>
      <c r="G186">
        <v>0</v>
      </c>
      <c r="H186">
        <v>0</v>
      </c>
    </row>
    <row r="187" spans="1:8" x14ac:dyDescent="0.25">
      <c r="A187">
        <v>186</v>
      </c>
      <c r="B187" t="s">
        <v>571</v>
      </c>
      <c r="C187" t="s">
        <v>572</v>
      </c>
      <c r="D187" t="s">
        <v>573</v>
      </c>
      <c r="E187" t="s">
        <v>64</v>
      </c>
      <c r="F187">
        <v>0</v>
      </c>
      <c r="G187">
        <v>0</v>
      </c>
      <c r="H187">
        <v>0</v>
      </c>
    </row>
    <row r="188" spans="1:8" x14ac:dyDescent="0.25">
      <c r="A188">
        <v>187</v>
      </c>
      <c r="B188" t="s">
        <v>574</v>
      </c>
      <c r="C188" t="s">
        <v>575</v>
      </c>
      <c r="D188" t="s">
        <v>576</v>
      </c>
      <c r="E188" t="s">
        <v>64</v>
      </c>
      <c r="F188">
        <v>0</v>
      </c>
      <c r="G188">
        <v>0</v>
      </c>
      <c r="H188">
        <v>0</v>
      </c>
    </row>
    <row r="189" spans="1:8" x14ac:dyDescent="0.25">
      <c r="A189">
        <v>188</v>
      </c>
      <c r="B189" t="s">
        <v>577</v>
      </c>
      <c r="C189" t="s">
        <v>578</v>
      </c>
      <c r="D189" t="s">
        <v>579</v>
      </c>
      <c r="E189" t="s">
        <v>64</v>
      </c>
      <c r="F189">
        <v>0</v>
      </c>
      <c r="G189">
        <v>0</v>
      </c>
      <c r="H189">
        <v>0</v>
      </c>
    </row>
    <row r="190" spans="1:8" x14ac:dyDescent="0.25">
      <c r="A190">
        <v>189</v>
      </c>
      <c r="B190" t="s">
        <v>580</v>
      </c>
      <c r="C190" t="s">
        <v>581</v>
      </c>
      <c r="D190" t="s">
        <v>582</v>
      </c>
      <c r="E190" t="s">
        <v>64</v>
      </c>
      <c r="F190">
        <v>0</v>
      </c>
      <c r="G190">
        <v>0</v>
      </c>
      <c r="H190">
        <v>0</v>
      </c>
    </row>
    <row r="191" spans="1:8" x14ac:dyDescent="0.25">
      <c r="A191">
        <v>190</v>
      </c>
      <c r="B191" t="s">
        <v>583</v>
      </c>
      <c r="C191" t="s">
        <v>584</v>
      </c>
      <c r="D191" t="s">
        <v>585</v>
      </c>
      <c r="E191" t="s">
        <v>64</v>
      </c>
      <c r="F191">
        <v>0</v>
      </c>
      <c r="G191">
        <v>0</v>
      </c>
      <c r="H191">
        <v>0</v>
      </c>
    </row>
    <row r="192" spans="1:8" x14ac:dyDescent="0.25">
      <c r="A192">
        <v>191</v>
      </c>
      <c r="B192" t="s">
        <v>586</v>
      </c>
      <c r="C192" t="s">
        <v>587</v>
      </c>
      <c r="D192" t="s">
        <v>588</v>
      </c>
      <c r="E192" t="s">
        <v>64</v>
      </c>
      <c r="F192">
        <v>0</v>
      </c>
      <c r="G192">
        <v>0</v>
      </c>
      <c r="H192">
        <v>0</v>
      </c>
    </row>
    <row r="193" spans="1:8" x14ac:dyDescent="0.25">
      <c r="A193">
        <v>192</v>
      </c>
      <c r="B193" t="s">
        <v>589</v>
      </c>
      <c r="C193" t="s">
        <v>590</v>
      </c>
      <c r="D193" t="s">
        <v>591</v>
      </c>
      <c r="E193" t="s">
        <v>64</v>
      </c>
      <c r="F193">
        <v>0</v>
      </c>
      <c r="G193">
        <v>0</v>
      </c>
      <c r="H193">
        <v>0</v>
      </c>
    </row>
    <row r="194" spans="1:8" x14ac:dyDescent="0.25">
      <c r="A194">
        <v>193</v>
      </c>
      <c r="B194" t="s">
        <v>592</v>
      </c>
      <c r="C194" t="s">
        <v>593</v>
      </c>
      <c r="D194" t="s">
        <v>594</v>
      </c>
      <c r="E194" t="s">
        <v>64</v>
      </c>
      <c r="F194">
        <v>0</v>
      </c>
      <c r="G194">
        <v>0</v>
      </c>
      <c r="H194">
        <v>0</v>
      </c>
    </row>
    <row r="195" spans="1:8" x14ac:dyDescent="0.25">
      <c r="A195">
        <v>194</v>
      </c>
      <c r="B195" t="s">
        <v>595</v>
      </c>
      <c r="C195" t="s">
        <v>596</v>
      </c>
      <c r="D195" t="s">
        <v>597</v>
      </c>
      <c r="E195" t="s">
        <v>64</v>
      </c>
      <c r="F195">
        <v>0</v>
      </c>
      <c r="G195">
        <v>0</v>
      </c>
      <c r="H195">
        <v>0</v>
      </c>
    </row>
    <row r="196" spans="1:8" x14ac:dyDescent="0.25">
      <c r="A196">
        <v>195</v>
      </c>
      <c r="B196" t="s">
        <v>598</v>
      </c>
      <c r="C196" t="s">
        <v>599</v>
      </c>
      <c r="D196" t="s">
        <v>600</v>
      </c>
      <c r="E196" t="s">
        <v>64</v>
      </c>
      <c r="F196">
        <v>0</v>
      </c>
      <c r="G196">
        <v>0</v>
      </c>
      <c r="H196">
        <v>0</v>
      </c>
    </row>
    <row r="197" spans="1:8" x14ac:dyDescent="0.25">
      <c r="A197">
        <v>196</v>
      </c>
      <c r="B197" t="s">
        <v>601</v>
      </c>
      <c r="C197" t="s">
        <v>602</v>
      </c>
      <c r="D197" t="s">
        <v>603</v>
      </c>
      <c r="E197" t="s">
        <v>483</v>
      </c>
      <c r="F197">
        <v>0</v>
      </c>
      <c r="G197">
        <v>0</v>
      </c>
      <c r="H197">
        <v>0</v>
      </c>
    </row>
    <row r="198" spans="1:8" x14ac:dyDescent="0.25">
      <c r="A198">
        <v>197</v>
      </c>
      <c r="B198" t="s">
        <v>604</v>
      </c>
      <c r="C198" t="s">
        <v>605</v>
      </c>
      <c r="D198" t="s">
        <v>606</v>
      </c>
      <c r="E198" t="s">
        <v>483</v>
      </c>
      <c r="F198">
        <v>0</v>
      </c>
      <c r="G198">
        <v>0</v>
      </c>
      <c r="H198">
        <v>0</v>
      </c>
    </row>
    <row r="199" spans="1:8" x14ac:dyDescent="0.25">
      <c r="A199">
        <v>198</v>
      </c>
      <c r="B199" t="s">
        <v>607</v>
      </c>
      <c r="C199" t="s">
        <v>608</v>
      </c>
      <c r="D199" t="s">
        <v>609</v>
      </c>
      <c r="E199" t="s">
        <v>483</v>
      </c>
      <c r="F199">
        <v>0</v>
      </c>
      <c r="G199">
        <v>0</v>
      </c>
      <c r="H199">
        <v>0</v>
      </c>
    </row>
    <row r="200" spans="1:8" x14ac:dyDescent="0.25">
      <c r="A200">
        <v>199</v>
      </c>
      <c r="B200" t="s">
        <v>610</v>
      </c>
      <c r="C200" t="s">
        <v>611</v>
      </c>
      <c r="D200" t="s">
        <v>612</v>
      </c>
      <c r="E200" t="s">
        <v>64</v>
      </c>
      <c r="F200">
        <v>0</v>
      </c>
      <c r="G200">
        <v>0</v>
      </c>
      <c r="H200">
        <v>0</v>
      </c>
    </row>
    <row r="201" spans="1:8" x14ac:dyDescent="0.25">
      <c r="A201">
        <v>200</v>
      </c>
      <c r="B201" t="s">
        <v>613</v>
      </c>
      <c r="C201" t="s">
        <v>614</v>
      </c>
      <c r="D201" t="s">
        <v>615</v>
      </c>
      <c r="E201" t="s">
        <v>483</v>
      </c>
      <c r="F201">
        <v>0</v>
      </c>
      <c r="G201">
        <v>0</v>
      </c>
      <c r="H201">
        <v>0</v>
      </c>
    </row>
  </sheetData>
  <conditionalFormatting sqref="F2:H201">
    <cfRule type="cellIs" dxfId="5" priority="2" operator="equal">
      <formula>1</formula>
    </cfRule>
  </conditionalFormatting>
  <pageMargins left="0.7" right="0.7" top="0.75" bottom="0.75" header="0.51180555555555496" footer="0.51180555555555496"/>
  <pageSetup paperSize="9" firstPageNumber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4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86" sqref="A86"/>
      <selection pane="bottomRight" activeCell="A2" sqref="A2"/>
    </sheetView>
  </sheetViews>
  <sheetFormatPr defaultRowHeight="15" x14ac:dyDescent="0.25"/>
  <cols>
    <col min="2" max="2" width="120.42578125"/>
    <col min="5" max="5" width="13"/>
    <col min="15" max="15" width="15.28515625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  <c r="N1" s="1" t="s">
        <v>625</v>
      </c>
      <c r="O1" s="1" t="s">
        <v>626</v>
      </c>
      <c r="P1" s="1" t="s">
        <v>627</v>
      </c>
      <c r="Q1" s="1" t="s">
        <v>628</v>
      </c>
      <c r="R1" s="1" t="s">
        <v>4</v>
      </c>
    </row>
    <row r="2" spans="1:18" x14ac:dyDescent="0.25">
      <c r="A2">
        <v>1</v>
      </c>
      <c r="B2" t="s">
        <v>629</v>
      </c>
      <c r="C2" t="s">
        <v>630</v>
      </c>
      <c r="D2" t="s">
        <v>631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 t="s">
        <v>632</v>
      </c>
      <c r="R2" t="s">
        <v>11</v>
      </c>
    </row>
    <row r="3" spans="1:18" x14ac:dyDescent="0.25">
      <c r="A3">
        <v>2</v>
      </c>
      <c r="B3" t="s">
        <v>633</v>
      </c>
      <c r="C3" t="s">
        <v>634</v>
      </c>
      <c r="D3" t="s">
        <v>635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2" t="s">
        <v>632</v>
      </c>
      <c r="R3" t="s">
        <v>11</v>
      </c>
    </row>
    <row r="4" spans="1:18" x14ac:dyDescent="0.25">
      <c r="A4">
        <v>3</v>
      </c>
      <c r="B4" t="s">
        <v>636</v>
      </c>
      <c r="C4" t="s">
        <v>637</v>
      </c>
      <c r="D4" t="s">
        <v>638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2" t="s">
        <v>632</v>
      </c>
      <c r="R4" t="s">
        <v>11</v>
      </c>
    </row>
    <row r="5" spans="1:18" x14ac:dyDescent="0.25">
      <c r="A5">
        <v>4</v>
      </c>
      <c r="B5" t="s">
        <v>639</v>
      </c>
      <c r="C5" t="s">
        <v>640</v>
      </c>
      <c r="D5" t="s">
        <v>641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2" t="s">
        <v>632</v>
      </c>
      <c r="R5" t="s">
        <v>11</v>
      </c>
    </row>
    <row r="6" spans="1:18" x14ac:dyDescent="0.25">
      <c r="A6">
        <v>5</v>
      </c>
      <c r="B6" t="s">
        <v>642</v>
      </c>
      <c r="C6" t="s">
        <v>643</v>
      </c>
      <c r="D6" t="s">
        <v>644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2" t="s">
        <v>632</v>
      </c>
      <c r="R6" t="s">
        <v>11</v>
      </c>
    </row>
    <row r="7" spans="1:18" x14ac:dyDescent="0.25">
      <c r="A7">
        <v>6</v>
      </c>
      <c r="B7" t="s">
        <v>645</v>
      </c>
      <c r="C7" t="s">
        <v>646</v>
      </c>
      <c r="D7" t="s">
        <v>647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2" t="s">
        <v>632</v>
      </c>
      <c r="R7" t="s">
        <v>11</v>
      </c>
    </row>
    <row r="8" spans="1:18" x14ac:dyDescent="0.25">
      <c r="A8">
        <v>7</v>
      </c>
      <c r="B8" t="s">
        <v>648</v>
      </c>
      <c r="C8" t="s">
        <v>649</v>
      </c>
      <c r="D8" t="s">
        <v>650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2" t="s">
        <v>632</v>
      </c>
      <c r="R8" t="s">
        <v>11</v>
      </c>
    </row>
    <row r="9" spans="1:18" x14ac:dyDescent="0.25">
      <c r="A9">
        <v>8</v>
      </c>
      <c r="B9" t="s">
        <v>651</v>
      </c>
      <c r="C9" t="s">
        <v>652</v>
      </c>
      <c r="D9" t="s">
        <v>653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2" t="s">
        <v>632</v>
      </c>
      <c r="R9" t="s">
        <v>11</v>
      </c>
    </row>
    <row r="10" spans="1:18" x14ac:dyDescent="0.25">
      <c r="A10">
        <v>9</v>
      </c>
      <c r="B10" t="s">
        <v>654</v>
      </c>
      <c r="C10" t="s">
        <v>655</v>
      </c>
      <c r="D10" t="s">
        <v>656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2" t="s">
        <v>632</v>
      </c>
      <c r="R10" t="s">
        <v>11</v>
      </c>
    </row>
    <row r="11" spans="1:18" x14ac:dyDescent="0.25">
      <c r="A11">
        <v>10</v>
      </c>
      <c r="B11" t="s">
        <v>657</v>
      </c>
      <c r="C11" t="s">
        <v>658</v>
      </c>
      <c r="D11" t="s">
        <v>659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2" t="s">
        <v>632</v>
      </c>
      <c r="R11" t="s">
        <v>11</v>
      </c>
    </row>
    <row r="12" spans="1:18" x14ac:dyDescent="0.25">
      <c r="A12">
        <v>11</v>
      </c>
      <c r="B12" t="s">
        <v>660</v>
      </c>
      <c r="C12" t="s">
        <v>661</v>
      </c>
      <c r="D12" t="s">
        <v>662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2" t="s">
        <v>632</v>
      </c>
      <c r="R12" t="s">
        <v>11</v>
      </c>
    </row>
    <row r="13" spans="1:18" x14ac:dyDescent="0.25">
      <c r="A13">
        <v>12</v>
      </c>
      <c r="B13" t="s">
        <v>42</v>
      </c>
      <c r="C13" t="s">
        <v>663</v>
      </c>
      <c r="D13" t="s">
        <v>664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2" t="s">
        <v>632</v>
      </c>
      <c r="R13" t="s">
        <v>11</v>
      </c>
    </row>
    <row r="14" spans="1:18" x14ac:dyDescent="0.25">
      <c r="A14">
        <v>13</v>
      </c>
      <c r="B14" t="s">
        <v>45</v>
      </c>
      <c r="C14" t="s">
        <v>665</v>
      </c>
      <c r="D14" t="s">
        <v>666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2" t="s">
        <v>632</v>
      </c>
      <c r="R14" t="s">
        <v>11</v>
      </c>
    </row>
    <row r="15" spans="1:18" x14ac:dyDescent="0.25">
      <c r="A15">
        <v>14</v>
      </c>
      <c r="B15" t="s">
        <v>48</v>
      </c>
      <c r="C15" t="s">
        <v>667</v>
      </c>
      <c r="D15" t="s">
        <v>668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2" t="s">
        <v>632</v>
      </c>
      <c r="R15" t="s">
        <v>11</v>
      </c>
    </row>
    <row r="16" spans="1:18" x14ac:dyDescent="0.25">
      <c r="A16">
        <v>15</v>
      </c>
      <c r="B16" t="s">
        <v>51</v>
      </c>
      <c r="C16" t="s">
        <v>669</v>
      </c>
      <c r="D16" t="s">
        <v>670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2" t="s">
        <v>632</v>
      </c>
      <c r="R16" t="s">
        <v>54</v>
      </c>
    </row>
    <row r="17" spans="1:18" x14ac:dyDescent="0.25">
      <c r="A17">
        <v>16</v>
      </c>
      <c r="B17" t="s">
        <v>671</v>
      </c>
      <c r="C17" t="s">
        <v>672</v>
      </c>
      <c r="D17" t="s">
        <v>673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2" t="s">
        <v>632</v>
      </c>
      <c r="R17" t="s">
        <v>11</v>
      </c>
    </row>
    <row r="18" spans="1:18" x14ac:dyDescent="0.25">
      <c r="A18">
        <v>17</v>
      </c>
      <c r="B18" t="s">
        <v>674</v>
      </c>
      <c r="C18" t="s">
        <v>675</v>
      </c>
      <c r="D18" t="s">
        <v>676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2" t="s">
        <v>632</v>
      </c>
      <c r="R18" t="s">
        <v>11</v>
      </c>
    </row>
    <row r="19" spans="1:18" x14ac:dyDescent="0.25">
      <c r="A19">
        <v>18</v>
      </c>
      <c r="B19" t="s">
        <v>677</v>
      </c>
      <c r="C19" t="s">
        <v>678</v>
      </c>
      <c r="D19" t="s">
        <v>679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2" t="s">
        <v>677</v>
      </c>
      <c r="R19" t="s">
        <v>64</v>
      </c>
    </row>
    <row r="20" spans="1:18" x14ac:dyDescent="0.25">
      <c r="A20">
        <v>19</v>
      </c>
      <c r="B20" t="s">
        <v>680</v>
      </c>
      <c r="C20" t="s">
        <v>681</v>
      </c>
      <c r="D20" t="s">
        <v>682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2" t="s">
        <v>683</v>
      </c>
      <c r="R20" t="s">
        <v>11</v>
      </c>
    </row>
    <row r="21" spans="1:18" x14ac:dyDescent="0.25">
      <c r="A21">
        <v>20</v>
      </c>
      <c r="B21" t="s">
        <v>684</v>
      </c>
      <c r="C21" t="s">
        <v>685</v>
      </c>
      <c r="D21" t="s">
        <v>686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2" t="s">
        <v>687</v>
      </c>
      <c r="R21" t="s">
        <v>64</v>
      </c>
    </row>
    <row r="22" spans="1:18" x14ac:dyDescent="0.25">
      <c r="A22">
        <v>21</v>
      </c>
      <c r="B22" t="s">
        <v>688</v>
      </c>
      <c r="C22" t="s">
        <v>689</v>
      </c>
      <c r="D22" t="s">
        <v>690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2" t="s">
        <v>687</v>
      </c>
      <c r="R22" t="s">
        <v>64</v>
      </c>
    </row>
    <row r="23" spans="1:18" x14ac:dyDescent="0.25">
      <c r="A23">
        <v>22</v>
      </c>
      <c r="B23" t="s">
        <v>691</v>
      </c>
      <c r="C23" t="s">
        <v>692</v>
      </c>
      <c r="D23" t="s">
        <v>693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2" t="s">
        <v>687</v>
      </c>
      <c r="R23" t="s">
        <v>64</v>
      </c>
    </row>
    <row r="24" spans="1:18" x14ac:dyDescent="0.25">
      <c r="A24">
        <v>23</v>
      </c>
      <c r="B24" t="s">
        <v>694</v>
      </c>
      <c r="C24" t="s">
        <v>695</v>
      </c>
      <c r="D24" t="s">
        <v>696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2" t="s">
        <v>687</v>
      </c>
      <c r="R24" t="s">
        <v>64</v>
      </c>
    </row>
    <row r="25" spans="1:18" x14ac:dyDescent="0.25">
      <c r="A25">
        <v>24</v>
      </c>
      <c r="B25" t="s">
        <v>697</v>
      </c>
      <c r="C25" t="s">
        <v>698</v>
      </c>
      <c r="D25" t="s">
        <v>699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2" t="s">
        <v>687</v>
      </c>
      <c r="R25" t="s">
        <v>64</v>
      </c>
    </row>
    <row r="26" spans="1:18" x14ac:dyDescent="0.25">
      <c r="A26">
        <v>25</v>
      </c>
      <c r="B26" t="s">
        <v>700</v>
      </c>
      <c r="C26" t="s">
        <v>701</v>
      </c>
      <c r="D26" t="s">
        <v>702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2" t="s">
        <v>687</v>
      </c>
      <c r="R26" t="s">
        <v>64</v>
      </c>
    </row>
    <row r="27" spans="1:18" x14ac:dyDescent="0.25">
      <c r="A27">
        <v>26</v>
      </c>
      <c r="B27" t="s">
        <v>703</v>
      </c>
      <c r="C27" t="s">
        <v>704</v>
      </c>
      <c r="D27" t="s">
        <v>705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2" t="s">
        <v>687</v>
      </c>
      <c r="R27" t="s">
        <v>110</v>
      </c>
    </row>
    <row r="28" spans="1:18" x14ac:dyDescent="0.25">
      <c r="A28">
        <v>27</v>
      </c>
      <c r="B28" t="s">
        <v>706</v>
      </c>
      <c r="C28" t="s">
        <v>707</v>
      </c>
      <c r="D28" t="s">
        <v>708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2" t="s">
        <v>687</v>
      </c>
      <c r="R28" t="s">
        <v>110</v>
      </c>
    </row>
    <row r="29" spans="1:18" x14ac:dyDescent="0.25">
      <c r="A29">
        <v>28</v>
      </c>
      <c r="B29" t="s">
        <v>709</v>
      </c>
      <c r="C29" t="s">
        <v>710</v>
      </c>
      <c r="D29" t="s">
        <v>711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2" t="s">
        <v>687</v>
      </c>
      <c r="R29" t="s">
        <v>110</v>
      </c>
    </row>
    <row r="30" spans="1:18" x14ac:dyDescent="0.25">
      <c r="A30">
        <v>29</v>
      </c>
      <c r="B30" t="s">
        <v>712</v>
      </c>
      <c r="C30" t="s">
        <v>713</v>
      </c>
      <c r="D30" t="s">
        <v>714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2" t="s">
        <v>687</v>
      </c>
      <c r="R30" t="s">
        <v>110</v>
      </c>
    </row>
    <row r="31" spans="1:18" x14ac:dyDescent="0.25">
      <c r="A31">
        <v>30</v>
      </c>
      <c r="B31" t="s">
        <v>715</v>
      </c>
      <c r="C31" t="s">
        <v>716</v>
      </c>
      <c r="D31" t="s">
        <v>717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2" t="s">
        <v>687</v>
      </c>
      <c r="R31" t="s">
        <v>110</v>
      </c>
    </row>
    <row r="32" spans="1:18" x14ac:dyDescent="0.25">
      <c r="A32">
        <v>31</v>
      </c>
      <c r="B32" t="s">
        <v>718</v>
      </c>
      <c r="C32" t="s">
        <v>719</v>
      </c>
      <c r="D32" t="s">
        <v>720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2" t="s">
        <v>687</v>
      </c>
      <c r="R32" t="s">
        <v>110</v>
      </c>
    </row>
    <row r="33" spans="1:18" x14ac:dyDescent="0.25">
      <c r="A33">
        <v>32</v>
      </c>
      <c r="B33" t="s">
        <v>721</v>
      </c>
      <c r="C33" t="s">
        <v>722</v>
      </c>
      <c r="D33" t="s">
        <v>723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2" t="s">
        <v>687</v>
      </c>
      <c r="R33" t="s">
        <v>110</v>
      </c>
    </row>
    <row r="34" spans="1:18" x14ac:dyDescent="0.25">
      <c r="A34">
        <v>33</v>
      </c>
      <c r="B34" t="s">
        <v>724</v>
      </c>
      <c r="C34" t="s">
        <v>725</v>
      </c>
      <c r="D34" t="s">
        <v>726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2" t="s">
        <v>687</v>
      </c>
      <c r="R34" t="s">
        <v>110</v>
      </c>
    </row>
    <row r="35" spans="1:18" x14ac:dyDescent="0.25">
      <c r="A35">
        <v>34</v>
      </c>
      <c r="B35" t="s">
        <v>727</v>
      </c>
      <c r="C35" t="s">
        <v>728</v>
      </c>
      <c r="D35" t="s">
        <v>729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2" t="s">
        <v>687</v>
      </c>
      <c r="R35" t="s">
        <v>11</v>
      </c>
    </row>
    <row r="36" spans="1:18" x14ac:dyDescent="0.25">
      <c r="A36">
        <v>35</v>
      </c>
      <c r="B36" t="s">
        <v>730</v>
      </c>
      <c r="C36" t="s">
        <v>731</v>
      </c>
      <c r="D36" t="s">
        <v>732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2" t="s">
        <v>733</v>
      </c>
      <c r="R36" t="s">
        <v>11</v>
      </c>
    </row>
    <row r="37" spans="1:18" x14ac:dyDescent="0.25">
      <c r="A37">
        <v>36</v>
      </c>
      <c r="B37" t="s">
        <v>734</v>
      </c>
      <c r="C37" t="s">
        <v>735</v>
      </c>
      <c r="D37" t="s">
        <v>736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2" t="s">
        <v>733</v>
      </c>
      <c r="R37" t="s">
        <v>11</v>
      </c>
    </row>
    <row r="38" spans="1:18" x14ac:dyDescent="0.25">
      <c r="A38">
        <v>37</v>
      </c>
      <c r="B38" t="s">
        <v>737</v>
      </c>
      <c r="C38" t="s">
        <v>738</v>
      </c>
      <c r="D38" t="s">
        <v>739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2" t="s">
        <v>733</v>
      </c>
      <c r="R38" t="s">
        <v>11</v>
      </c>
    </row>
    <row r="39" spans="1:18" x14ac:dyDescent="0.25">
      <c r="A39">
        <v>38</v>
      </c>
      <c r="B39" t="s">
        <v>740</v>
      </c>
      <c r="C39" t="s">
        <v>741</v>
      </c>
      <c r="D39" t="s">
        <v>742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2" t="s">
        <v>733</v>
      </c>
      <c r="R39" t="s">
        <v>11</v>
      </c>
    </row>
    <row r="40" spans="1:18" x14ac:dyDescent="0.25">
      <c r="A40">
        <v>39</v>
      </c>
      <c r="B40" t="s">
        <v>743</v>
      </c>
      <c r="C40" t="s">
        <v>744</v>
      </c>
      <c r="D40" t="s">
        <v>745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2" t="s">
        <v>733</v>
      </c>
      <c r="R40" t="s">
        <v>11</v>
      </c>
    </row>
    <row r="41" spans="1:18" x14ac:dyDescent="0.25">
      <c r="A41">
        <v>40</v>
      </c>
      <c r="B41" t="s">
        <v>746</v>
      </c>
      <c r="C41" t="s">
        <v>747</v>
      </c>
      <c r="D41" t="s">
        <v>748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2" t="s">
        <v>733</v>
      </c>
      <c r="R41" t="s">
        <v>11</v>
      </c>
    </row>
    <row r="42" spans="1:18" x14ac:dyDescent="0.25">
      <c r="A42">
        <v>41</v>
      </c>
      <c r="B42" t="s">
        <v>156</v>
      </c>
      <c r="C42" t="s">
        <v>749</v>
      </c>
      <c r="D42" t="s">
        <v>750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2" t="s">
        <v>733</v>
      </c>
      <c r="R42" t="s">
        <v>11</v>
      </c>
    </row>
    <row r="43" spans="1:18" x14ac:dyDescent="0.25">
      <c r="A43">
        <v>42</v>
      </c>
      <c r="B43" t="s">
        <v>751</v>
      </c>
      <c r="C43" t="s">
        <v>752</v>
      </c>
      <c r="D43" t="s">
        <v>753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2" t="s">
        <v>733</v>
      </c>
      <c r="R43" t="s">
        <v>11</v>
      </c>
    </row>
    <row r="44" spans="1:18" x14ac:dyDescent="0.25">
      <c r="A44">
        <v>43</v>
      </c>
      <c r="B44" t="s">
        <v>754</v>
      </c>
      <c r="C44" t="s">
        <v>755</v>
      </c>
      <c r="D44" t="s">
        <v>756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2" t="s">
        <v>733</v>
      </c>
      <c r="R44" t="s">
        <v>11</v>
      </c>
    </row>
    <row r="45" spans="1:18" x14ac:dyDescent="0.25">
      <c r="A45">
        <v>44</v>
      </c>
      <c r="B45" t="s">
        <v>757</v>
      </c>
      <c r="C45" t="s">
        <v>758</v>
      </c>
      <c r="D45" t="s">
        <v>759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2" t="s">
        <v>733</v>
      </c>
      <c r="R45" t="s">
        <v>11</v>
      </c>
    </row>
    <row r="46" spans="1:18" x14ac:dyDescent="0.25">
      <c r="A46">
        <v>45</v>
      </c>
      <c r="B46" t="s">
        <v>760</v>
      </c>
      <c r="C46" t="s">
        <v>761</v>
      </c>
      <c r="D46" t="s">
        <v>762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2" t="s">
        <v>733</v>
      </c>
      <c r="R46" t="s">
        <v>11</v>
      </c>
    </row>
    <row r="47" spans="1:18" x14ac:dyDescent="0.25">
      <c r="A47">
        <v>46</v>
      </c>
      <c r="B47" t="s">
        <v>763</v>
      </c>
      <c r="C47" t="s">
        <v>764</v>
      </c>
      <c r="D47" t="s">
        <v>765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2" t="s">
        <v>733</v>
      </c>
      <c r="R47" t="s">
        <v>11</v>
      </c>
    </row>
    <row r="48" spans="1:18" x14ac:dyDescent="0.25">
      <c r="A48">
        <v>47</v>
      </c>
      <c r="B48" t="s">
        <v>766</v>
      </c>
      <c r="C48" t="s">
        <v>767</v>
      </c>
      <c r="D48" t="s">
        <v>768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2" t="s">
        <v>733</v>
      </c>
      <c r="R48" t="s">
        <v>54</v>
      </c>
    </row>
    <row r="49" spans="1:18" x14ac:dyDescent="0.25">
      <c r="A49">
        <v>48</v>
      </c>
      <c r="B49" t="s">
        <v>769</v>
      </c>
      <c r="C49" t="s">
        <v>770</v>
      </c>
      <c r="D49" t="s">
        <v>771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2" t="s">
        <v>733</v>
      </c>
      <c r="R49" t="s">
        <v>54</v>
      </c>
    </row>
    <row r="50" spans="1:18" x14ac:dyDescent="0.25">
      <c r="A50">
        <v>49</v>
      </c>
      <c r="B50" t="s">
        <v>772</v>
      </c>
      <c r="C50" t="s">
        <v>773</v>
      </c>
      <c r="D50" t="s">
        <v>774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2" t="s">
        <v>733</v>
      </c>
      <c r="R50" t="s">
        <v>54</v>
      </c>
    </row>
    <row r="51" spans="1:18" x14ac:dyDescent="0.25">
      <c r="A51">
        <v>50</v>
      </c>
      <c r="B51" t="s">
        <v>775</v>
      </c>
      <c r="C51" t="s">
        <v>776</v>
      </c>
      <c r="D51" t="s">
        <v>777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2" t="s">
        <v>733</v>
      </c>
      <c r="R51" t="s">
        <v>64</v>
      </c>
    </row>
    <row r="52" spans="1:18" x14ac:dyDescent="0.25">
      <c r="A52">
        <v>51</v>
      </c>
      <c r="B52" t="s">
        <v>778</v>
      </c>
      <c r="C52" t="s">
        <v>779</v>
      </c>
      <c r="D52" t="s">
        <v>780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2" t="s">
        <v>733</v>
      </c>
      <c r="R52" t="s">
        <v>64</v>
      </c>
    </row>
    <row r="53" spans="1:18" x14ac:dyDescent="0.25">
      <c r="A53">
        <v>52</v>
      </c>
      <c r="B53" t="s">
        <v>189</v>
      </c>
      <c r="C53" t="s">
        <v>781</v>
      </c>
      <c r="D53" t="s">
        <v>782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2" t="s">
        <v>733</v>
      </c>
      <c r="R53" t="s">
        <v>192</v>
      </c>
    </row>
    <row r="54" spans="1:18" x14ac:dyDescent="0.25">
      <c r="A54">
        <v>53</v>
      </c>
      <c r="B54" t="s">
        <v>783</v>
      </c>
      <c r="C54" t="s">
        <v>784</v>
      </c>
      <c r="D54" t="s">
        <v>785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2" t="s">
        <v>733</v>
      </c>
      <c r="R54" t="s">
        <v>192</v>
      </c>
    </row>
    <row r="55" spans="1:18" x14ac:dyDescent="0.25">
      <c r="A55">
        <v>54</v>
      </c>
      <c r="B55" t="s">
        <v>786</v>
      </c>
      <c r="C55" t="s">
        <v>787</v>
      </c>
      <c r="D55" t="s">
        <v>788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2" t="s">
        <v>733</v>
      </c>
      <c r="R55" t="s">
        <v>192</v>
      </c>
    </row>
    <row r="56" spans="1:18" x14ac:dyDescent="0.25">
      <c r="A56">
        <v>55</v>
      </c>
      <c r="B56" t="s">
        <v>789</v>
      </c>
      <c r="C56" t="s">
        <v>790</v>
      </c>
      <c r="D56" t="s">
        <v>791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2" t="s">
        <v>733</v>
      </c>
      <c r="R56" t="s">
        <v>483</v>
      </c>
    </row>
    <row r="57" spans="1:18" x14ac:dyDescent="0.25">
      <c r="A57">
        <v>56</v>
      </c>
      <c r="B57" t="s">
        <v>792</v>
      </c>
      <c r="C57" t="s">
        <v>793</v>
      </c>
      <c r="D57" t="s">
        <v>794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2" t="s">
        <v>733</v>
      </c>
      <c r="R57" t="s">
        <v>64</v>
      </c>
    </row>
    <row r="58" spans="1:18" x14ac:dyDescent="0.25">
      <c r="A58">
        <v>57</v>
      </c>
      <c r="B58" t="s">
        <v>795</v>
      </c>
      <c r="C58" t="s">
        <v>796</v>
      </c>
      <c r="D58" t="s">
        <v>797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2" t="s">
        <v>733</v>
      </c>
      <c r="R58" t="s">
        <v>214</v>
      </c>
    </row>
    <row r="59" spans="1:18" x14ac:dyDescent="0.25">
      <c r="A59">
        <v>58</v>
      </c>
      <c r="B59" t="s">
        <v>798</v>
      </c>
      <c r="C59" t="s">
        <v>799</v>
      </c>
      <c r="D59" t="s">
        <v>800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2" t="s">
        <v>733</v>
      </c>
      <c r="R59" t="s">
        <v>64</v>
      </c>
    </row>
    <row r="60" spans="1:18" x14ac:dyDescent="0.25">
      <c r="A60">
        <v>59</v>
      </c>
      <c r="B60" t="s">
        <v>269</v>
      </c>
      <c r="C60" t="s">
        <v>801</v>
      </c>
      <c r="D60" t="s">
        <v>802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2" t="s">
        <v>733</v>
      </c>
      <c r="R60" t="s">
        <v>192</v>
      </c>
    </row>
    <row r="61" spans="1:18" x14ac:dyDescent="0.25">
      <c r="A61">
        <v>60</v>
      </c>
      <c r="B61" t="s">
        <v>803</v>
      </c>
      <c r="C61" t="s">
        <v>804</v>
      </c>
      <c r="D61" t="s">
        <v>805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2" t="s">
        <v>733</v>
      </c>
      <c r="R61" t="s">
        <v>192</v>
      </c>
    </row>
    <row r="62" spans="1:18" x14ac:dyDescent="0.25">
      <c r="A62">
        <v>61</v>
      </c>
      <c r="B62" t="s">
        <v>275</v>
      </c>
      <c r="C62" t="s">
        <v>806</v>
      </c>
      <c r="D62" t="s">
        <v>807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2" t="s">
        <v>733</v>
      </c>
      <c r="R62" t="s">
        <v>11</v>
      </c>
    </row>
    <row r="63" spans="1:18" x14ac:dyDescent="0.25">
      <c r="A63">
        <v>62</v>
      </c>
      <c r="B63" t="s">
        <v>278</v>
      </c>
      <c r="C63" t="s">
        <v>808</v>
      </c>
      <c r="D63" t="s">
        <v>809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2" t="s">
        <v>733</v>
      </c>
      <c r="R63" t="s">
        <v>11</v>
      </c>
    </row>
    <row r="64" spans="1:18" x14ac:dyDescent="0.25">
      <c r="A64">
        <v>63</v>
      </c>
      <c r="B64" t="s">
        <v>281</v>
      </c>
      <c r="C64" t="s">
        <v>810</v>
      </c>
      <c r="D64" t="s">
        <v>811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2" t="s">
        <v>733</v>
      </c>
      <c r="R64" t="s">
        <v>192</v>
      </c>
    </row>
    <row r="65" spans="1:18" x14ac:dyDescent="0.25">
      <c r="A65">
        <v>64</v>
      </c>
      <c r="B65" t="s">
        <v>812</v>
      </c>
      <c r="C65" t="s">
        <v>813</v>
      </c>
      <c r="D65" t="s">
        <v>814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2" t="s">
        <v>733</v>
      </c>
      <c r="R65" t="s">
        <v>192</v>
      </c>
    </row>
    <row r="66" spans="1:18" x14ac:dyDescent="0.25">
      <c r="A66">
        <v>65</v>
      </c>
      <c r="B66" t="s">
        <v>815</v>
      </c>
      <c r="C66" t="s">
        <v>816</v>
      </c>
      <c r="D66" t="s">
        <v>817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2" t="s">
        <v>733</v>
      </c>
      <c r="R66" t="s">
        <v>110</v>
      </c>
    </row>
    <row r="67" spans="1:18" x14ac:dyDescent="0.25">
      <c r="A67">
        <v>66</v>
      </c>
      <c r="B67" t="s">
        <v>818</v>
      </c>
      <c r="C67" t="s">
        <v>819</v>
      </c>
      <c r="D67" t="s">
        <v>820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2" t="s">
        <v>733</v>
      </c>
      <c r="R67" t="s">
        <v>110</v>
      </c>
    </row>
    <row r="68" spans="1:18" x14ac:dyDescent="0.25">
      <c r="A68">
        <v>67</v>
      </c>
      <c r="B68" t="s">
        <v>821</v>
      </c>
      <c r="C68" t="s">
        <v>822</v>
      </c>
      <c r="D68" t="s">
        <v>823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2" t="s">
        <v>733</v>
      </c>
      <c r="R68" t="s">
        <v>110</v>
      </c>
    </row>
    <row r="69" spans="1:18" x14ac:dyDescent="0.25">
      <c r="A69">
        <v>68</v>
      </c>
      <c r="B69" t="s">
        <v>824</v>
      </c>
      <c r="C69" t="s">
        <v>825</v>
      </c>
      <c r="D69" t="s">
        <v>826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2" t="s">
        <v>733</v>
      </c>
      <c r="R69" t="s">
        <v>110</v>
      </c>
    </row>
    <row r="70" spans="1:18" x14ac:dyDescent="0.25">
      <c r="A70">
        <v>69</v>
      </c>
      <c r="B70" t="s">
        <v>827</v>
      </c>
      <c r="C70" t="s">
        <v>828</v>
      </c>
      <c r="D70" t="s">
        <v>829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2" t="s">
        <v>733</v>
      </c>
      <c r="R70" t="s">
        <v>110</v>
      </c>
    </row>
    <row r="71" spans="1:18" x14ac:dyDescent="0.25">
      <c r="A71">
        <v>70</v>
      </c>
      <c r="B71" t="s">
        <v>830</v>
      </c>
      <c r="C71" t="s">
        <v>831</v>
      </c>
      <c r="D71" t="s">
        <v>832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2" t="s">
        <v>733</v>
      </c>
      <c r="R71" t="s">
        <v>110</v>
      </c>
    </row>
    <row r="72" spans="1:18" x14ac:dyDescent="0.25">
      <c r="A72">
        <v>71</v>
      </c>
      <c r="B72" t="s">
        <v>833</v>
      </c>
      <c r="C72" t="s">
        <v>834</v>
      </c>
      <c r="D72" t="s">
        <v>835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2" t="s">
        <v>733</v>
      </c>
      <c r="R72" t="s">
        <v>110</v>
      </c>
    </row>
    <row r="73" spans="1:18" x14ac:dyDescent="0.25">
      <c r="A73">
        <v>72</v>
      </c>
      <c r="B73" t="s">
        <v>836</v>
      </c>
      <c r="C73" t="s">
        <v>837</v>
      </c>
      <c r="D73" t="s">
        <v>838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2" t="s">
        <v>733</v>
      </c>
      <c r="R73" t="s">
        <v>192</v>
      </c>
    </row>
    <row r="74" spans="1:18" x14ac:dyDescent="0.25">
      <c r="A74">
        <v>73</v>
      </c>
      <c r="B74" t="s">
        <v>839</v>
      </c>
      <c r="C74" t="s">
        <v>840</v>
      </c>
      <c r="D74" t="s">
        <v>841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2" t="s">
        <v>733</v>
      </c>
      <c r="R74" t="s">
        <v>192</v>
      </c>
    </row>
    <row r="75" spans="1:18" x14ac:dyDescent="0.25">
      <c r="A75">
        <v>74</v>
      </c>
      <c r="B75" t="s">
        <v>842</v>
      </c>
      <c r="C75" t="s">
        <v>843</v>
      </c>
      <c r="D75" t="s">
        <v>844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2" t="s">
        <v>733</v>
      </c>
      <c r="R75" t="s">
        <v>192</v>
      </c>
    </row>
    <row r="76" spans="1:18" x14ac:dyDescent="0.25">
      <c r="A76">
        <v>75</v>
      </c>
      <c r="B76" t="s">
        <v>845</v>
      </c>
      <c r="C76" t="s">
        <v>846</v>
      </c>
      <c r="D76" t="s">
        <v>847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2" t="s">
        <v>733</v>
      </c>
      <c r="R76" t="s">
        <v>192</v>
      </c>
    </row>
    <row r="77" spans="1:18" x14ac:dyDescent="0.25">
      <c r="A77">
        <v>76</v>
      </c>
      <c r="B77" t="s">
        <v>848</v>
      </c>
      <c r="C77" t="s">
        <v>849</v>
      </c>
      <c r="D77" t="s">
        <v>850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2" t="s">
        <v>733</v>
      </c>
      <c r="R77" t="s">
        <v>192</v>
      </c>
    </row>
    <row r="78" spans="1:18" x14ac:dyDescent="0.25">
      <c r="A78">
        <v>77</v>
      </c>
      <c r="B78" t="s">
        <v>851</v>
      </c>
      <c r="C78" t="s">
        <v>852</v>
      </c>
      <c r="D78" t="s">
        <v>853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2" t="s">
        <v>733</v>
      </c>
      <c r="R78" t="s">
        <v>192</v>
      </c>
    </row>
    <row r="79" spans="1:18" x14ac:dyDescent="0.25">
      <c r="A79">
        <v>78</v>
      </c>
      <c r="B79" t="s">
        <v>854</v>
      </c>
      <c r="C79" t="s">
        <v>855</v>
      </c>
      <c r="D79" t="s">
        <v>856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2" t="s">
        <v>733</v>
      </c>
      <c r="R79" t="s">
        <v>192</v>
      </c>
    </row>
    <row r="80" spans="1:18" x14ac:dyDescent="0.25">
      <c r="A80">
        <v>79</v>
      </c>
      <c r="B80" t="s">
        <v>857</v>
      </c>
      <c r="C80" t="s">
        <v>858</v>
      </c>
      <c r="D80" t="s">
        <v>859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2" t="s">
        <v>733</v>
      </c>
      <c r="R80" t="s">
        <v>192</v>
      </c>
    </row>
    <row r="81" spans="1:18" x14ac:dyDescent="0.25">
      <c r="A81">
        <v>80</v>
      </c>
      <c r="B81" t="s">
        <v>860</v>
      </c>
      <c r="C81" t="s">
        <v>861</v>
      </c>
      <c r="D81" t="s">
        <v>862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2" t="s">
        <v>733</v>
      </c>
      <c r="R81" t="s">
        <v>192</v>
      </c>
    </row>
    <row r="82" spans="1:18" x14ac:dyDescent="0.25">
      <c r="A82">
        <v>81</v>
      </c>
      <c r="B82" t="s">
        <v>863</v>
      </c>
      <c r="C82" t="s">
        <v>864</v>
      </c>
      <c r="D82" t="s">
        <v>865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2" t="s">
        <v>733</v>
      </c>
      <c r="R82" t="s">
        <v>192</v>
      </c>
    </row>
    <row r="83" spans="1:18" x14ac:dyDescent="0.25">
      <c r="A83">
        <v>82</v>
      </c>
      <c r="B83" t="s">
        <v>866</v>
      </c>
      <c r="C83" t="s">
        <v>867</v>
      </c>
      <c r="D83" t="s">
        <v>868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2" t="s">
        <v>733</v>
      </c>
      <c r="R83" t="s">
        <v>192</v>
      </c>
    </row>
    <row r="84" spans="1:18" x14ac:dyDescent="0.25">
      <c r="A84">
        <v>83</v>
      </c>
      <c r="B84" t="s">
        <v>869</v>
      </c>
      <c r="C84" t="s">
        <v>870</v>
      </c>
      <c r="D84" t="s">
        <v>871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2" t="s">
        <v>733</v>
      </c>
      <c r="R84" t="s">
        <v>192</v>
      </c>
    </row>
    <row r="85" spans="1:18" x14ac:dyDescent="0.25">
      <c r="A85">
        <v>84</v>
      </c>
      <c r="B85" t="s">
        <v>872</v>
      </c>
      <c r="C85" t="s">
        <v>873</v>
      </c>
      <c r="D85" t="s">
        <v>874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2" t="s">
        <v>733</v>
      </c>
      <c r="R85" t="s">
        <v>192</v>
      </c>
    </row>
    <row r="86" spans="1:18" x14ac:dyDescent="0.25">
      <c r="A86">
        <v>85</v>
      </c>
      <c r="B86" t="s">
        <v>875</v>
      </c>
      <c r="C86" t="s">
        <v>876</v>
      </c>
      <c r="D86" t="s">
        <v>877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2" t="s">
        <v>733</v>
      </c>
      <c r="R86" t="s">
        <v>192</v>
      </c>
    </row>
    <row r="87" spans="1:18" x14ac:dyDescent="0.25">
      <c r="A87">
        <v>86</v>
      </c>
      <c r="B87" t="s">
        <v>878</v>
      </c>
      <c r="C87" t="s">
        <v>879</v>
      </c>
      <c r="D87" t="s">
        <v>880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2" t="s">
        <v>733</v>
      </c>
      <c r="R87" t="s">
        <v>192</v>
      </c>
    </row>
    <row r="88" spans="1:18" x14ac:dyDescent="0.25">
      <c r="A88">
        <v>87</v>
      </c>
      <c r="B88" t="s">
        <v>881</v>
      </c>
      <c r="C88" t="s">
        <v>882</v>
      </c>
      <c r="D88" t="s">
        <v>883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2" t="s">
        <v>733</v>
      </c>
      <c r="R88" t="s">
        <v>192</v>
      </c>
    </row>
    <row r="89" spans="1:18" x14ac:dyDescent="0.25">
      <c r="A89">
        <v>88</v>
      </c>
      <c r="B89" t="s">
        <v>884</v>
      </c>
      <c r="C89" t="s">
        <v>885</v>
      </c>
      <c r="D89" t="s">
        <v>886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2" t="s">
        <v>733</v>
      </c>
      <c r="R89" t="s">
        <v>192</v>
      </c>
    </row>
    <row r="90" spans="1:18" x14ac:dyDescent="0.25">
      <c r="A90">
        <v>89</v>
      </c>
      <c r="B90" t="s">
        <v>887</v>
      </c>
      <c r="C90" t="s">
        <v>888</v>
      </c>
      <c r="D90" t="s">
        <v>889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2" t="s">
        <v>733</v>
      </c>
      <c r="R90" t="s">
        <v>192</v>
      </c>
    </row>
    <row r="91" spans="1:18" x14ac:dyDescent="0.25">
      <c r="A91">
        <v>90</v>
      </c>
      <c r="B91" t="s">
        <v>890</v>
      </c>
      <c r="C91" t="s">
        <v>891</v>
      </c>
      <c r="D91" t="s">
        <v>892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2" t="s">
        <v>733</v>
      </c>
      <c r="R91" t="s">
        <v>192</v>
      </c>
    </row>
    <row r="92" spans="1:18" x14ac:dyDescent="0.25">
      <c r="A92">
        <v>91</v>
      </c>
      <c r="B92" t="s">
        <v>893</v>
      </c>
      <c r="C92" t="s">
        <v>894</v>
      </c>
      <c r="D92" t="s">
        <v>895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2" t="s">
        <v>733</v>
      </c>
      <c r="R92" t="s">
        <v>192</v>
      </c>
    </row>
    <row r="93" spans="1:18" x14ac:dyDescent="0.25">
      <c r="A93">
        <v>92</v>
      </c>
      <c r="B93" t="s">
        <v>896</v>
      </c>
      <c r="C93" t="s">
        <v>897</v>
      </c>
      <c r="D93" t="s">
        <v>898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2" t="s">
        <v>733</v>
      </c>
      <c r="R93" t="s">
        <v>192</v>
      </c>
    </row>
    <row r="94" spans="1:18" x14ac:dyDescent="0.25">
      <c r="A94">
        <v>93</v>
      </c>
      <c r="B94" t="s">
        <v>899</v>
      </c>
      <c r="C94" t="s">
        <v>900</v>
      </c>
      <c r="D94" t="s">
        <v>901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2" t="s">
        <v>733</v>
      </c>
      <c r="R94" t="s">
        <v>192</v>
      </c>
    </row>
    <row r="95" spans="1:18" x14ac:dyDescent="0.25">
      <c r="A95">
        <v>94</v>
      </c>
      <c r="B95" t="s">
        <v>902</v>
      </c>
      <c r="C95" t="s">
        <v>903</v>
      </c>
      <c r="D95" t="s">
        <v>904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2" t="s">
        <v>733</v>
      </c>
      <c r="R95" t="s">
        <v>192</v>
      </c>
    </row>
    <row r="96" spans="1:18" x14ac:dyDescent="0.25">
      <c r="A96">
        <v>95</v>
      </c>
      <c r="B96" t="s">
        <v>905</v>
      </c>
      <c r="C96" t="s">
        <v>906</v>
      </c>
      <c r="D96" t="s">
        <v>907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2" t="s">
        <v>733</v>
      </c>
      <c r="R96" t="s">
        <v>192</v>
      </c>
    </row>
    <row r="97" spans="1:18" x14ac:dyDescent="0.25">
      <c r="A97">
        <v>96</v>
      </c>
      <c r="B97" t="s">
        <v>908</v>
      </c>
      <c r="C97" t="s">
        <v>909</v>
      </c>
      <c r="D97" t="s">
        <v>910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2" t="s">
        <v>911</v>
      </c>
      <c r="R97" t="s">
        <v>64</v>
      </c>
    </row>
    <row r="98" spans="1:18" x14ac:dyDescent="0.25">
      <c r="A98">
        <v>97</v>
      </c>
      <c r="B98" t="s">
        <v>912</v>
      </c>
      <c r="C98" t="s">
        <v>913</v>
      </c>
      <c r="D98" t="s">
        <v>914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2" t="s">
        <v>911</v>
      </c>
      <c r="R98" t="s">
        <v>64</v>
      </c>
    </row>
    <row r="99" spans="1:18" x14ac:dyDescent="0.25">
      <c r="A99">
        <v>98</v>
      </c>
      <c r="B99" t="s">
        <v>915</v>
      </c>
      <c r="C99" t="s">
        <v>916</v>
      </c>
      <c r="D99" t="s">
        <v>917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2" t="s">
        <v>911</v>
      </c>
      <c r="R99" t="s">
        <v>64</v>
      </c>
    </row>
    <row r="100" spans="1:18" x14ac:dyDescent="0.25">
      <c r="A100">
        <v>99</v>
      </c>
      <c r="B100" t="s">
        <v>918</v>
      </c>
      <c r="C100" t="s">
        <v>919</v>
      </c>
      <c r="D100" t="s">
        <v>920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2" t="s">
        <v>911</v>
      </c>
      <c r="R100" t="s">
        <v>64</v>
      </c>
    </row>
    <row r="101" spans="1:18" x14ac:dyDescent="0.25">
      <c r="A101">
        <v>100</v>
      </c>
      <c r="B101" t="s">
        <v>921</v>
      </c>
      <c r="C101" t="s">
        <v>922</v>
      </c>
      <c r="D101" t="s">
        <v>923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2" t="s">
        <v>911</v>
      </c>
      <c r="R101" t="s">
        <v>64</v>
      </c>
    </row>
    <row r="102" spans="1:18" x14ac:dyDescent="0.25">
      <c r="A102">
        <v>101</v>
      </c>
      <c r="B102" t="s">
        <v>924</v>
      </c>
      <c r="C102" t="s">
        <v>925</v>
      </c>
      <c r="D102" t="s">
        <v>926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2" t="s">
        <v>911</v>
      </c>
      <c r="R102" t="s">
        <v>64</v>
      </c>
    </row>
    <row r="103" spans="1:18" x14ac:dyDescent="0.25">
      <c r="A103">
        <v>102</v>
      </c>
      <c r="B103" t="s">
        <v>927</v>
      </c>
      <c r="C103" t="s">
        <v>928</v>
      </c>
      <c r="D103" t="s">
        <v>929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s="2" t="s">
        <v>911</v>
      </c>
      <c r="R103" t="s">
        <v>64</v>
      </c>
    </row>
    <row r="104" spans="1:18" x14ac:dyDescent="0.25">
      <c r="A104">
        <v>103</v>
      </c>
      <c r="B104" t="s">
        <v>930</v>
      </c>
      <c r="C104" t="s">
        <v>931</v>
      </c>
      <c r="D104" t="s">
        <v>932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2" t="s">
        <v>911</v>
      </c>
      <c r="R104" t="s">
        <v>64</v>
      </c>
    </row>
    <row r="105" spans="1:18" x14ac:dyDescent="0.25">
      <c r="A105">
        <v>104</v>
      </c>
      <c r="B105" t="s">
        <v>933</v>
      </c>
      <c r="C105" t="s">
        <v>934</v>
      </c>
      <c r="D105" t="s">
        <v>935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2" t="s">
        <v>911</v>
      </c>
      <c r="R105" t="s">
        <v>64</v>
      </c>
    </row>
    <row r="106" spans="1:18" x14ac:dyDescent="0.25">
      <c r="A106">
        <v>105</v>
      </c>
      <c r="B106" t="s">
        <v>936</v>
      </c>
      <c r="C106" t="s">
        <v>937</v>
      </c>
      <c r="D106" t="s">
        <v>938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2" t="s">
        <v>911</v>
      </c>
      <c r="R106" t="s">
        <v>64</v>
      </c>
    </row>
    <row r="107" spans="1:18" x14ac:dyDescent="0.25">
      <c r="A107">
        <v>106</v>
      </c>
      <c r="B107" t="s">
        <v>939</v>
      </c>
      <c r="C107" t="s">
        <v>940</v>
      </c>
      <c r="D107" t="s">
        <v>941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2" t="s">
        <v>911</v>
      </c>
      <c r="R107" t="s">
        <v>64</v>
      </c>
    </row>
    <row r="108" spans="1:18" x14ac:dyDescent="0.25">
      <c r="A108">
        <v>107</v>
      </c>
      <c r="B108" t="s">
        <v>942</v>
      </c>
      <c r="C108" t="s">
        <v>943</v>
      </c>
      <c r="D108" t="s">
        <v>944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2" t="s">
        <v>911</v>
      </c>
      <c r="R108" t="s">
        <v>64</v>
      </c>
    </row>
    <row r="109" spans="1:18" x14ac:dyDescent="0.25">
      <c r="A109">
        <v>108</v>
      </c>
      <c r="B109" t="s">
        <v>945</v>
      </c>
      <c r="C109" t="s">
        <v>946</v>
      </c>
      <c r="D109" t="s">
        <v>947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2" t="s">
        <v>911</v>
      </c>
      <c r="R109" t="s">
        <v>64</v>
      </c>
    </row>
    <row r="110" spans="1:18" x14ac:dyDescent="0.25">
      <c r="A110">
        <v>109</v>
      </c>
      <c r="B110" t="s">
        <v>948</v>
      </c>
      <c r="C110" t="s">
        <v>949</v>
      </c>
      <c r="D110" t="s">
        <v>950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2" t="s">
        <v>911</v>
      </c>
      <c r="R110" t="s">
        <v>64</v>
      </c>
    </row>
    <row r="111" spans="1:18" x14ac:dyDescent="0.25">
      <c r="A111">
        <v>110</v>
      </c>
      <c r="B111" t="s">
        <v>951</v>
      </c>
      <c r="C111" t="s">
        <v>952</v>
      </c>
      <c r="D111" t="s">
        <v>953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2" t="s">
        <v>911</v>
      </c>
      <c r="R111" t="s">
        <v>64</v>
      </c>
    </row>
    <row r="112" spans="1:18" x14ac:dyDescent="0.25">
      <c r="A112">
        <v>111</v>
      </c>
      <c r="B112" t="s">
        <v>954</v>
      </c>
      <c r="C112" t="s">
        <v>955</v>
      </c>
      <c r="D112" t="s">
        <v>956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2" t="s">
        <v>911</v>
      </c>
      <c r="R112" t="s">
        <v>64</v>
      </c>
    </row>
    <row r="113" spans="1:18" x14ac:dyDescent="0.25">
      <c r="A113">
        <v>112</v>
      </c>
      <c r="B113" t="s">
        <v>957</v>
      </c>
      <c r="C113" t="s">
        <v>958</v>
      </c>
      <c r="D113" t="s">
        <v>959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s="2" t="s">
        <v>911</v>
      </c>
      <c r="R113" t="s">
        <v>64</v>
      </c>
    </row>
    <row r="114" spans="1:18" x14ac:dyDescent="0.25">
      <c r="A114">
        <v>113</v>
      </c>
      <c r="B114" t="s">
        <v>960</v>
      </c>
      <c r="C114" t="s">
        <v>961</v>
      </c>
      <c r="D114" t="s">
        <v>962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2" t="s">
        <v>963</v>
      </c>
      <c r="R114" t="s">
        <v>110</v>
      </c>
    </row>
    <row r="115" spans="1:18" x14ac:dyDescent="0.25">
      <c r="A115">
        <v>114</v>
      </c>
      <c r="B115" t="s">
        <v>964</v>
      </c>
      <c r="C115" t="s">
        <v>965</v>
      </c>
      <c r="D115" t="s">
        <v>966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s="2" t="s">
        <v>963</v>
      </c>
      <c r="R115" t="s">
        <v>110</v>
      </c>
    </row>
    <row r="116" spans="1:18" x14ac:dyDescent="0.25">
      <c r="A116">
        <v>115</v>
      </c>
      <c r="B116" t="s">
        <v>467</v>
      </c>
      <c r="C116" t="s">
        <v>967</v>
      </c>
      <c r="D116" t="s">
        <v>968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 s="2" t="s">
        <v>969</v>
      </c>
      <c r="R116" t="s">
        <v>470</v>
      </c>
    </row>
    <row r="117" spans="1:18" x14ac:dyDescent="0.25">
      <c r="A117">
        <v>116</v>
      </c>
      <c r="B117" t="s">
        <v>970</v>
      </c>
      <c r="C117" t="s">
        <v>971</v>
      </c>
      <c r="D117" t="s">
        <v>972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 s="2" t="s">
        <v>969</v>
      </c>
      <c r="R117" t="s">
        <v>470</v>
      </c>
    </row>
    <row r="118" spans="1:18" x14ac:dyDescent="0.25">
      <c r="A118">
        <v>117</v>
      </c>
      <c r="B118" t="s">
        <v>973</v>
      </c>
      <c r="C118" t="s">
        <v>974</v>
      </c>
      <c r="D118" t="s">
        <v>975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 s="2" t="s">
        <v>969</v>
      </c>
      <c r="R118" t="s">
        <v>470</v>
      </c>
    </row>
    <row r="119" spans="1:18" x14ac:dyDescent="0.25">
      <c r="A119">
        <v>118</v>
      </c>
      <c r="B119" t="s">
        <v>976</v>
      </c>
      <c r="C119" t="s">
        <v>977</v>
      </c>
      <c r="D119" t="s">
        <v>978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 s="2" t="s">
        <v>969</v>
      </c>
      <c r="R119" t="s">
        <v>470</v>
      </c>
    </row>
    <row r="120" spans="1:18" x14ac:dyDescent="0.25">
      <c r="A120">
        <v>119</v>
      </c>
      <c r="B120" t="s">
        <v>979</v>
      </c>
      <c r="C120" t="s">
        <v>980</v>
      </c>
      <c r="D120" t="s">
        <v>981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 s="2" t="s">
        <v>969</v>
      </c>
      <c r="R120" t="s">
        <v>483</v>
      </c>
    </row>
    <row r="121" spans="1:18" x14ac:dyDescent="0.25">
      <c r="A121">
        <v>120</v>
      </c>
      <c r="B121" t="s">
        <v>982</v>
      </c>
      <c r="C121" t="s">
        <v>983</v>
      </c>
      <c r="D121" t="s">
        <v>984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 s="2" t="s">
        <v>985</v>
      </c>
      <c r="R121" t="s">
        <v>214</v>
      </c>
    </row>
    <row r="122" spans="1:18" x14ac:dyDescent="0.25">
      <c r="A122">
        <v>121</v>
      </c>
      <c r="B122" t="s">
        <v>986</v>
      </c>
      <c r="C122" t="s">
        <v>987</v>
      </c>
      <c r="D122" t="s">
        <v>988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 s="2" t="s">
        <v>985</v>
      </c>
      <c r="R122" t="s">
        <v>214</v>
      </c>
    </row>
    <row r="123" spans="1:18" x14ac:dyDescent="0.25">
      <c r="A123">
        <v>122</v>
      </c>
      <c r="B123" t="s">
        <v>989</v>
      </c>
      <c r="C123" t="s">
        <v>990</v>
      </c>
      <c r="D123" t="s">
        <v>991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 s="2" t="s">
        <v>985</v>
      </c>
      <c r="R123" t="s">
        <v>214</v>
      </c>
    </row>
    <row r="124" spans="1:18" x14ac:dyDescent="0.25">
      <c r="A124">
        <v>123</v>
      </c>
      <c r="B124" t="s">
        <v>992</v>
      </c>
      <c r="C124" t="s">
        <v>993</v>
      </c>
      <c r="D124" t="s">
        <v>994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s="2" t="s">
        <v>985</v>
      </c>
      <c r="R124" t="s">
        <v>214</v>
      </c>
    </row>
    <row r="125" spans="1:18" x14ac:dyDescent="0.25">
      <c r="A125">
        <v>124</v>
      </c>
      <c r="B125" t="s">
        <v>995</v>
      </c>
      <c r="C125" t="s">
        <v>996</v>
      </c>
      <c r="D125" t="s">
        <v>997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 s="2" t="s">
        <v>985</v>
      </c>
      <c r="R125" t="s">
        <v>214</v>
      </c>
    </row>
    <row r="126" spans="1:18" x14ac:dyDescent="0.25">
      <c r="A126">
        <v>125</v>
      </c>
      <c r="B126" t="s">
        <v>998</v>
      </c>
      <c r="C126" t="s">
        <v>999</v>
      </c>
      <c r="D126" t="s">
        <v>1000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s="2" t="s">
        <v>985</v>
      </c>
      <c r="R126" t="s">
        <v>214</v>
      </c>
    </row>
    <row r="127" spans="1:18" x14ac:dyDescent="0.25">
      <c r="A127">
        <v>126</v>
      </c>
      <c r="B127" t="s">
        <v>1001</v>
      </c>
      <c r="C127" t="s">
        <v>1002</v>
      </c>
      <c r="D127" t="s">
        <v>1003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 s="2" t="s">
        <v>985</v>
      </c>
      <c r="R127" t="s">
        <v>214</v>
      </c>
    </row>
    <row r="128" spans="1:18" x14ac:dyDescent="0.25">
      <c r="A128">
        <v>127</v>
      </c>
      <c r="B128" t="s">
        <v>1004</v>
      </c>
      <c r="C128" t="s">
        <v>1005</v>
      </c>
      <c r="D128" t="s">
        <v>1006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s="2" t="s">
        <v>985</v>
      </c>
      <c r="R128" t="s">
        <v>214</v>
      </c>
    </row>
    <row r="129" spans="1:18" x14ac:dyDescent="0.25">
      <c r="A129">
        <v>128</v>
      </c>
      <c r="B129" t="s">
        <v>1007</v>
      </c>
      <c r="C129" t="s">
        <v>1008</v>
      </c>
      <c r="D129" t="s">
        <v>1009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 s="2" t="s">
        <v>1010</v>
      </c>
      <c r="R129" t="s">
        <v>483</v>
      </c>
    </row>
    <row r="130" spans="1:18" x14ac:dyDescent="0.25">
      <c r="A130">
        <v>129</v>
      </c>
      <c r="B130" t="s">
        <v>1011</v>
      </c>
      <c r="C130" t="s">
        <v>1012</v>
      </c>
      <c r="D130" t="s">
        <v>1013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 s="2" t="s">
        <v>1010</v>
      </c>
      <c r="R130" t="s">
        <v>483</v>
      </c>
    </row>
    <row r="131" spans="1:18" x14ac:dyDescent="0.25">
      <c r="A131">
        <v>130</v>
      </c>
      <c r="B131" t="s">
        <v>1014</v>
      </c>
      <c r="C131" t="s">
        <v>1015</v>
      </c>
      <c r="D131" t="s">
        <v>1016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 s="2" t="s">
        <v>1010</v>
      </c>
      <c r="R131" t="s">
        <v>483</v>
      </c>
    </row>
    <row r="132" spans="1:18" x14ac:dyDescent="0.25">
      <c r="A132">
        <v>131</v>
      </c>
      <c r="B132" t="s">
        <v>1017</v>
      </c>
      <c r="C132" t="s">
        <v>1018</v>
      </c>
      <c r="D132" t="s">
        <v>1019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 s="2" t="s">
        <v>1010</v>
      </c>
      <c r="R132" t="s">
        <v>483</v>
      </c>
    </row>
    <row r="133" spans="1:18" x14ac:dyDescent="0.25">
      <c r="A133">
        <v>132</v>
      </c>
      <c r="B133" t="s">
        <v>1020</v>
      </c>
      <c r="C133" t="s">
        <v>1021</v>
      </c>
      <c r="D133" t="s">
        <v>1022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 s="2" t="s">
        <v>1010</v>
      </c>
      <c r="R133" t="s">
        <v>483</v>
      </c>
    </row>
    <row r="134" spans="1:18" x14ac:dyDescent="0.25">
      <c r="A134">
        <v>133</v>
      </c>
      <c r="B134" t="s">
        <v>1023</v>
      </c>
      <c r="C134" t="s">
        <v>1024</v>
      </c>
      <c r="D134" t="s">
        <v>1025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 s="2" t="s">
        <v>1010</v>
      </c>
      <c r="R134" t="s">
        <v>483</v>
      </c>
    </row>
    <row r="135" spans="1:18" x14ac:dyDescent="0.25">
      <c r="A135">
        <v>134</v>
      </c>
      <c r="B135" t="s">
        <v>1026</v>
      </c>
      <c r="C135" t="s">
        <v>1027</v>
      </c>
      <c r="D135" t="s">
        <v>1028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 s="2" t="s">
        <v>1010</v>
      </c>
      <c r="R135" t="s">
        <v>483</v>
      </c>
    </row>
    <row r="136" spans="1:18" x14ac:dyDescent="0.25">
      <c r="A136">
        <v>135</v>
      </c>
      <c r="B136" t="s">
        <v>1029</v>
      </c>
      <c r="C136" t="s">
        <v>1030</v>
      </c>
      <c r="D136" t="s">
        <v>1031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 s="2" t="s">
        <v>1010</v>
      </c>
      <c r="R136" t="s">
        <v>483</v>
      </c>
    </row>
    <row r="137" spans="1:18" x14ac:dyDescent="0.25">
      <c r="A137">
        <v>136</v>
      </c>
      <c r="B137" t="s">
        <v>1032</v>
      </c>
      <c r="C137" t="s">
        <v>1033</v>
      </c>
      <c r="D137" t="s">
        <v>1034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 s="2" t="s">
        <v>1035</v>
      </c>
      <c r="R137" t="s">
        <v>483</v>
      </c>
    </row>
    <row r="138" spans="1:18" x14ac:dyDescent="0.25">
      <c r="A138">
        <v>137</v>
      </c>
      <c r="B138" t="s">
        <v>1036</v>
      </c>
      <c r="C138" t="s">
        <v>1037</v>
      </c>
      <c r="D138" t="s">
        <v>1038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 s="2" t="s">
        <v>1039</v>
      </c>
      <c r="R138" t="s">
        <v>483</v>
      </c>
    </row>
    <row r="139" spans="1:18" x14ac:dyDescent="0.25">
      <c r="A139">
        <v>138</v>
      </c>
      <c r="B139" t="s">
        <v>1040</v>
      </c>
      <c r="C139" t="s">
        <v>1041</v>
      </c>
      <c r="D139" t="s">
        <v>1042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 s="2" t="s">
        <v>1039</v>
      </c>
      <c r="R139" t="s">
        <v>483</v>
      </c>
    </row>
    <row r="140" spans="1:18" x14ac:dyDescent="0.25">
      <c r="A140">
        <v>139</v>
      </c>
      <c r="B140" t="s">
        <v>1043</v>
      </c>
      <c r="C140" t="s">
        <v>1044</v>
      </c>
      <c r="D140" t="s">
        <v>1045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 s="2" t="s">
        <v>1039</v>
      </c>
      <c r="R140" t="s">
        <v>64</v>
      </c>
    </row>
    <row r="141" spans="1:18" x14ac:dyDescent="0.25">
      <c r="A141">
        <v>140</v>
      </c>
      <c r="B141" t="s">
        <v>1046</v>
      </c>
      <c r="C141" t="s">
        <v>1047</v>
      </c>
      <c r="D141" t="s">
        <v>1048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 s="2" t="s">
        <v>1039</v>
      </c>
      <c r="R141" t="s">
        <v>64</v>
      </c>
    </row>
    <row r="142" spans="1:18" x14ac:dyDescent="0.25">
      <c r="A142">
        <v>141</v>
      </c>
      <c r="B142" t="s">
        <v>1049</v>
      </c>
      <c r="C142" t="s">
        <v>1050</v>
      </c>
      <c r="D142" t="s">
        <v>1051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 s="2" t="s">
        <v>1039</v>
      </c>
      <c r="R142" t="s">
        <v>64</v>
      </c>
    </row>
    <row r="143" spans="1:18" x14ac:dyDescent="0.25">
      <c r="A143">
        <v>142</v>
      </c>
      <c r="B143" t="s">
        <v>1052</v>
      </c>
      <c r="C143" t="s">
        <v>1053</v>
      </c>
      <c r="D143" t="s">
        <v>1054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 s="2" t="s">
        <v>1039</v>
      </c>
      <c r="R143" t="s">
        <v>64</v>
      </c>
    </row>
    <row r="144" spans="1:18" x14ac:dyDescent="0.25">
      <c r="A144">
        <v>143</v>
      </c>
      <c r="B144" t="s">
        <v>1055</v>
      </c>
      <c r="C144" t="s">
        <v>1056</v>
      </c>
      <c r="D144" t="s">
        <v>1057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 s="2" t="s">
        <v>1039</v>
      </c>
      <c r="R144" t="s">
        <v>64</v>
      </c>
    </row>
    <row r="145" spans="1:18" x14ac:dyDescent="0.25">
      <c r="A145">
        <v>144</v>
      </c>
      <c r="B145" t="s">
        <v>1058</v>
      </c>
      <c r="C145" t="s">
        <v>1059</v>
      </c>
      <c r="D145" t="s">
        <v>1060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 s="2" t="s">
        <v>1039</v>
      </c>
      <c r="R145" t="s">
        <v>64</v>
      </c>
    </row>
    <row r="146" spans="1:18" x14ac:dyDescent="0.25">
      <c r="A146">
        <v>145</v>
      </c>
      <c r="B146" t="s">
        <v>1061</v>
      </c>
      <c r="C146" t="s">
        <v>1062</v>
      </c>
      <c r="D146" t="s">
        <v>1063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 s="2" t="s">
        <v>1039</v>
      </c>
      <c r="R146" t="s">
        <v>64</v>
      </c>
    </row>
    <row r="147" spans="1:18" x14ac:dyDescent="0.25">
      <c r="A147">
        <v>146</v>
      </c>
      <c r="B147" t="s">
        <v>1064</v>
      </c>
      <c r="C147" t="s">
        <v>1065</v>
      </c>
      <c r="D147" t="s">
        <v>1066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 s="2" t="s">
        <v>1039</v>
      </c>
      <c r="R147" t="s">
        <v>64</v>
      </c>
    </row>
    <row r="148" spans="1:18" x14ac:dyDescent="0.25">
      <c r="A148">
        <v>147</v>
      </c>
      <c r="B148" t="s">
        <v>1067</v>
      </c>
      <c r="C148" t="s">
        <v>1068</v>
      </c>
      <c r="D148" t="s">
        <v>1069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 s="2" t="s">
        <v>1039</v>
      </c>
      <c r="R148" t="s">
        <v>64</v>
      </c>
    </row>
    <row r="149" spans="1:18" x14ac:dyDescent="0.25">
      <c r="A149">
        <v>148</v>
      </c>
      <c r="B149" t="s">
        <v>1070</v>
      </c>
      <c r="C149" t="s">
        <v>1071</v>
      </c>
      <c r="D149" t="s">
        <v>1072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 s="2" t="s">
        <v>1039</v>
      </c>
      <c r="R149" t="s">
        <v>64</v>
      </c>
    </row>
    <row r="150" spans="1:18" x14ac:dyDescent="0.25">
      <c r="A150">
        <v>149</v>
      </c>
      <c r="B150" t="s">
        <v>1073</v>
      </c>
      <c r="C150" t="s">
        <v>1074</v>
      </c>
      <c r="D150" t="s">
        <v>1075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 s="2" t="s">
        <v>1039</v>
      </c>
      <c r="R150" t="s">
        <v>64</v>
      </c>
    </row>
    <row r="151" spans="1:18" x14ac:dyDescent="0.25">
      <c r="A151">
        <v>150</v>
      </c>
      <c r="B151" t="s">
        <v>1076</v>
      </c>
      <c r="C151" t="s">
        <v>1077</v>
      </c>
      <c r="D151" t="s">
        <v>1078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 s="2" t="s">
        <v>1039</v>
      </c>
      <c r="R151" t="s">
        <v>64</v>
      </c>
    </row>
    <row r="152" spans="1:18" x14ac:dyDescent="0.25">
      <c r="A152">
        <v>151</v>
      </c>
      <c r="B152" t="s">
        <v>1079</v>
      </c>
      <c r="C152" t="s">
        <v>1080</v>
      </c>
      <c r="D152" t="s">
        <v>1081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 s="2" t="s">
        <v>1039</v>
      </c>
      <c r="R152" t="s">
        <v>64</v>
      </c>
    </row>
    <row r="153" spans="1:18" x14ac:dyDescent="0.25">
      <c r="A153">
        <v>152</v>
      </c>
      <c r="B153" t="s">
        <v>1082</v>
      </c>
      <c r="C153" t="s">
        <v>1083</v>
      </c>
      <c r="D153" t="s">
        <v>1084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 s="2" t="s">
        <v>1039</v>
      </c>
      <c r="R153" t="s">
        <v>64</v>
      </c>
    </row>
    <row r="154" spans="1:18" x14ac:dyDescent="0.25">
      <c r="A154">
        <v>153</v>
      </c>
      <c r="B154" t="s">
        <v>1085</v>
      </c>
      <c r="C154" t="s">
        <v>1086</v>
      </c>
      <c r="D154" t="s">
        <v>1087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 s="2" t="s">
        <v>1039</v>
      </c>
      <c r="R154" t="s">
        <v>64</v>
      </c>
    </row>
    <row r="155" spans="1:18" x14ac:dyDescent="0.25">
      <c r="A155">
        <v>154</v>
      </c>
      <c r="B155" t="s">
        <v>1088</v>
      </c>
      <c r="C155" t="s">
        <v>1089</v>
      </c>
      <c r="D155" t="s">
        <v>1090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 s="2" t="s">
        <v>1039</v>
      </c>
      <c r="R155" t="s">
        <v>64</v>
      </c>
    </row>
    <row r="156" spans="1:18" x14ac:dyDescent="0.25">
      <c r="A156">
        <v>155</v>
      </c>
      <c r="B156" t="s">
        <v>1091</v>
      </c>
      <c r="C156" t="s">
        <v>1092</v>
      </c>
      <c r="D156" t="s">
        <v>1093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 s="2" t="s">
        <v>1039</v>
      </c>
      <c r="R156" t="s">
        <v>64</v>
      </c>
    </row>
    <row r="157" spans="1:18" x14ac:dyDescent="0.25">
      <c r="A157">
        <v>156</v>
      </c>
      <c r="B157" t="s">
        <v>1094</v>
      </c>
      <c r="C157" t="s">
        <v>1095</v>
      </c>
      <c r="D157" t="s">
        <v>1096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 s="2" t="s">
        <v>1039</v>
      </c>
      <c r="R157" t="s">
        <v>64</v>
      </c>
    </row>
    <row r="158" spans="1:18" x14ac:dyDescent="0.25">
      <c r="A158">
        <v>157</v>
      </c>
      <c r="B158" t="s">
        <v>1097</v>
      </c>
      <c r="C158" t="s">
        <v>1098</v>
      </c>
      <c r="D158" t="s">
        <v>1099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 s="2" t="s">
        <v>1039</v>
      </c>
      <c r="R158" t="s">
        <v>64</v>
      </c>
    </row>
    <row r="159" spans="1:18" x14ac:dyDescent="0.25">
      <c r="A159">
        <v>158</v>
      </c>
      <c r="B159" t="s">
        <v>1100</v>
      </c>
      <c r="C159" t="s">
        <v>1101</v>
      </c>
      <c r="D159" t="s">
        <v>1102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 s="2" t="s">
        <v>1039</v>
      </c>
      <c r="R159" t="s">
        <v>64</v>
      </c>
    </row>
    <row r="160" spans="1:18" x14ac:dyDescent="0.25">
      <c r="A160">
        <v>159</v>
      </c>
      <c r="B160" t="s">
        <v>1103</v>
      </c>
      <c r="C160" t="s">
        <v>1104</v>
      </c>
      <c r="D160" t="s">
        <v>1105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 s="2" t="s">
        <v>1039</v>
      </c>
      <c r="R160" t="s">
        <v>483</v>
      </c>
    </row>
    <row r="161" spans="1:18" x14ac:dyDescent="0.25">
      <c r="A161">
        <v>160</v>
      </c>
      <c r="B161" t="s">
        <v>1106</v>
      </c>
      <c r="C161" t="s">
        <v>1107</v>
      </c>
      <c r="D161" t="s">
        <v>1108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 s="2" t="s">
        <v>1039</v>
      </c>
      <c r="R161" t="s">
        <v>483</v>
      </c>
    </row>
    <row r="162" spans="1:18" x14ac:dyDescent="0.25">
      <c r="A162">
        <v>161</v>
      </c>
      <c r="B162" t="s">
        <v>1109</v>
      </c>
      <c r="C162" t="s">
        <v>1110</v>
      </c>
      <c r="D162" t="s">
        <v>1111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 s="2" t="s">
        <v>1039</v>
      </c>
      <c r="R162" t="s">
        <v>483</v>
      </c>
    </row>
    <row r="163" spans="1:18" x14ac:dyDescent="0.25">
      <c r="A163">
        <v>162</v>
      </c>
      <c r="B163" t="s">
        <v>610</v>
      </c>
      <c r="C163" t="s">
        <v>1112</v>
      </c>
      <c r="D163" t="s">
        <v>1113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 s="2" t="s">
        <v>1114</v>
      </c>
      <c r="R163" t="s">
        <v>64</v>
      </c>
    </row>
    <row r="164" spans="1:18" x14ac:dyDescent="0.25">
      <c r="A164">
        <v>163</v>
      </c>
      <c r="B164" t="s">
        <v>613</v>
      </c>
      <c r="C164" t="s">
        <v>1115</v>
      </c>
      <c r="D164" t="s">
        <v>1116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 s="2" t="s">
        <v>1035</v>
      </c>
      <c r="R164" t="s">
        <v>483</v>
      </c>
    </row>
  </sheetData>
  <conditionalFormatting sqref="E2:P164">
    <cfRule type="cellIs" dxfId="4" priority="2" operator="equal">
      <formula>1</formula>
    </cfRule>
  </conditionalFormatting>
  <pageMargins left="0.7" right="0.7" top="0.75" bottom="0.75" header="0.51180555555555496" footer="0.51180555555555496"/>
  <pageSetup paperSize="9" firstPageNumber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zoomScaleNormal="100" workbookViewId="0">
      <selection activeCell="E36" activeCellId="30" sqref="B15:B16 B26 B59:B60 B62:C62 B88:C88 B99:C99 B106:C106 B108:C108 B110:C110 B112:C112 B114:C114 B116:B117 B123 B127 B133 B135 B138 B149:B151 B158 B161:B162 B170 B176:B191 B193:B196 B200 C17:C18 C60 C103 C116 C128 C152 E36"/>
    </sheetView>
  </sheetViews>
  <sheetFormatPr defaultRowHeight="15" x14ac:dyDescent="0.25"/>
  <cols>
    <col min="1" max="1" width="12.7109375"/>
    <col min="2" max="2" width="103.140625"/>
    <col min="5" max="8" width="14.85546875"/>
    <col min="9" max="9" width="18.28515625"/>
    <col min="10" max="12" width="19.140625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1117</v>
      </c>
      <c r="F1" s="1" t="s">
        <v>1118</v>
      </c>
      <c r="G1" s="1" t="s">
        <v>1119</v>
      </c>
      <c r="H1" s="1" t="s">
        <v>1120</v>
      </c>
      <c r="I1" s="1" t="s">
        <v>1121</v>
      </c>
      <c r="J1" s="1" t="s">
        <v>1122</v>
      </c>
      <c r="K1" s="1" t="s">
        <v>1123</v>
      </c>
      <c r="L1" s="1" t="s">
        <v>1124</v>
      </c>
      <c r="M1" s="1" t="s">
        <v>1125</v>
      </c>
      <c r="N1" s="1" t="s">
        <v>1126</v>
      </c>
      <c r="O1" s="1" t="s">
        <v>1127</v>
      </c>
    </row>
    <row r="2" spans="1:15" x14ac:dyDescent="0.25">
      <c r="A2">
        <v>201</v>
      </c>
      <c r="B2" s="3" t="s">
        <v>1128</v>
      </c>
      <c r="C2" t="s">
        <v>1129</v>
      </c>
      <c r="D2" t="s">
        <v>1130</v>
      </c>
      <c r="E2">
        <v>1</v>
      </c>
      <c r="F2">
        <v>0</v>
      </c>
      <c r="G2">
        <f t="shared" ref="G2:G13" si="0">IF(OR(E2, F2),1,0)</f>
        <v>1</v>
      </c>
      <c r="H2">
        <v>1</v>
      </c>
      <c r="I2">
        <v>0</v>
      </c>
      <c r="J2">
        <v>0</v>
      </c>
      <c r="K2">
        <v>0</v>
      </c>
      <c r="L2">
        <f t="shared" ref="L2:L13" si="1">IF(OR(K2,G2),1,0)</f>
        <v>1</v>
      </c>
      <c r="M2">
        <v>0</v>
      </c>
      <c r="N2">
        <f t="shared" ref="N2:N13" si="2">IF(OR(E2:L2),0,1)</f>
        <v>0</v>
      </c>
      <c r="O2">
        <v>1</v>
      </c>
    </row>
    <row r="3" spans="1:15" x14ac:dyDescent="0.25">
      <c r="A3">
        <v>202</v>
      </c>
      <c r="B3" s="4" t="s">
        <v>1131</v>
      </c>
      <c r="C3" t="s">
        <v>1132</v>
      </c>
      <c r="D3" t="s">
        <v>1133</v>
      </c>
      <c r="E3">
        <v>1</v>
      </c>
      <c r="F3">
        <v>0</v>
      </c>
      <c r="G3">
        <f t="shared" si="0"/>
        <v>1</v>
      </c>
      <c r="H3">
        <v>0</v>
      </c>
      <c r="I3">
        <v>0</v>
      </c>
      <c r="J3">
        <v>0</v>
      </c>
      <c r="K3">
        <v>0</v>
      </c>
      <c r="L3">
        <f t="shared" si="1"/>
        <v>1</v>
      </c>
      <c r="M3">
        <v>1</v>
      </c>
      <c r="N3">
        <f t="shared" si="2"/>
        <v>0</v>
      </c>
      <c r="O3">
        <v>1</v>
      </c>
    </row>
    <row r="4" spans="1:15" x14ac:dyDescent="0.25">
      <c r="A4">
        <v>203</v>
      </c>
      <c r="B4" s="4" t="s">
        <v>1134</v>
      </c>
      <c r="C4" t="s">
        <v>1135</v>
      </c>
      <c r="D4" t="s">
        <v>1136</v>
      </c>
      <c r="E4">
        <v>0</v>
      </c>
      <c r="F4">
        <v>1</v>
      </c>
      <c r="G4">
        <f t="shared" si="0"/>
        <v>1</v>
      </c>
      <c r="H4">
        <v>0</v>
      </c>
      <c r="I4">
        <v>0</v>
      </c>
      <c r="J4">
        <v>0</v>
      </c>
      <c r="K4">
        <v>0</v>
      </c>
      <c r="L4">
        <f t="shared" si="1"/>
        <v>1</v>
      </c>
      <c r="M4">
        <v>1</v>
      </c>
      <c r="N4">
        <f t="shared" si="2"/>
        <v>0</v>
      </c>
      <c r="O4">
        <v>1</v>
      </c>
    </row>
    <row r="5" spans="1:15" x14ac:dyDescent="0.25">
      <c r="A5">
        <v>204</v>
      </c>
      <c r="B5" s="5" t="s">
        <v>1137</v>
      </c>
      <c r="C5" t="s">
        <v>1138</v>
      </c>
      <c r="D5" t="s">
        <v>1139</v>
      </c>
      <c r="E5">
        <v>1</v>
      </c>
      <c r="F5">
        <v>0</v>
      </c>
      <c r="G5">
        <f t="shared" si="0"/>
        <v>1</v>
      </c>
      <c r="H5">
        <v>0</v>
      </c>
      <c r="I5">
        <v>0</v>
      </c>
      <c r="J5">
        <v>0</v>
      </c>
      <c r="K5">
        <v>1</v>
      </c>
      <c r="L5">
        <f t="shared" si="1"/>
        <v>1</v>
      </c>
      <c r="M5">
        <v>0</v>
      </c>
      <c r="N5">
        <f t="shared" si="2"/>
        <v>0</v>
      </c>
      <c r="O5">
        <v>1</v>
      </c>
    </row>
    <row r="6" spans="1:15" x14ac:dyDescent="0.25">
      <c r="A6">
        <v>205</v>
      </c>
      <c r="B6" s="3" t="s">
        <v>1140</v>
      </c>
      <c r="C6" t="s">
        <v>1141</v>
      </c>
      <c r="D6" t="s">
        <v>1142</v>
      </c>
      <c r="E6">
        <v>0</v>
      </c>
      <c r="F6">
        <v>0</v>
      </c>
      <c r="G6">
        <f t="shared" si="0"/>
        <v>0</v>
      </c>
      <c r="H6">
        <v>0</v>
      </c>
      <c r="I6">
        <v>1</v>
      </c>
      <c r="J6">
        <v>0</v>
      </c>
      <c r="K6">
        <v>1</v>
      </c>
      <c r="L6">
        <f t="shared" si="1"/>
        <v>1</v>
      </c>
      <c r="M6">
        <v>0</v>
      </c>
      <c r="N6">
        <f t="shared" si="2"/>
        <v>0</v>
      </c>
      <c r="O6">
        <v>0</v>
      </c>
    </row>
    <row r="7" spans="1:15" x14ac:dyDescent="0.25">
      <c r="A7">
        <v>206</v>
      </c>
      <c r="B7" s="4" t="s">
        <v>1143</v>
      </c>
      <c r="C7" t="s">
        <v>1144</v>
      </c>
      <c r="D7" t="s">
        <v>1145</v>
      </c>
      <c r="E7">
        <v>0</v>
      </c>
      <c r="F7">
        <v>0</v>
      </c>
      <c r="G7">
        <f t="shared" si="0"/>
        <v>0</v>
      </c>
      <c r="H7">
        <v>0</v>
      </c>
      <c r="I7">
        <v>1</v>
      </c>
      <c r="J7">
        <v>0</v>
      </c>
      <c r="K7">
        <v>1</v>
      </c>
      <c r="L7">
        <f t="shared" si="1"/>
        <v>1</v>
      </c>
      <c r="M7">
        <v>1</v>
      </c>
      <c r="N7">
        <f t="shared" si="2"/>
        <v>0</v>
      </c>
      <c r="O7">
        <v>0</v>
      </c>
    </row>
    <row r="8" spans="1:15" x14ac:dyDescent="0.25">
      <c r="A8">
        <v>207</v>
      </c>
      <c r="B8" s="4" t="s">
        <v>1146</v>
      </c>
      <c r="C8" t="s">
        <v>1147</v>
      </c>
      <c r="D8" t="s">
        <v>1148</v>
      </c>
      <c r="E8">
        <v>0</v>
      </c>
      <c r="F8">
        <v>0</v>
      </c>
      <c r="G8">
        <f t="shared" si="0"/>
        <v>0</v>
      </c>
      <c r="H8">
        <v>0</v>
      </c>
      <c r="I8">
        <v>1</v>
      </c>
      <c r="J8">
        <v>0</v>
      </c>
      <c r="K8">
        <v>1</v>
      </c>
      <c r="L8">
        <f t="shared" si="1"/>
        <v>1</v>
      </c>
      <c r="M8">
        <v>1</v>
      </c>
      <c r="N8">
        <f t="shared" si="2"/>
        <v>0</v>
      </c>
      <c r="O8">
        <v>0</v>
      </c>
    </row>
    <row r="9" spans="1:15" x14ac:dyDescent="0.25">
      <c r="A9">
        <v>208</v>
      </c>
      <c r="B9" s="4" t="s">
        <v>1149</v>
      </c>
      <c r="C9" t="s">
        <v>1150</v>
      </c>
      <c r="D9" t="s">
        <v>1151</v>
      </c>
      <c r="E9">
        <v>0</v>
      </c>
      <c r="F9">
        <v>0</v>
      </c>
      <c r="G9">
        <f t="shared" si="0"/>
        <v>0</v>
      </c>
      <c r="H9">
        <v>0</v>
      </c>
      <c r="I9">
        <v>1</v>
      </c>
      <c r="J9">
        <v>0</v>
      </c>
      <c r="K9">
        <v>1</v>
      </c>
      <c r="L9">
        <f t="shared" si="1"/>
        <v>1</v>
      </c>
      <c r="M9">
        <v>1</v>
      </c>
      <c r="N9">
        <f t="shared" si="2"/>
        <v>0</v>
      </c>
      <c r="O9">
        <v>0</v>
      </c>
    </row>
    <row r="10" spans="1:15" x14ac:dyDescent="0.25">
      <c r="A10">
        <v>209</v>
      </c>
      <c r="B10" s="4" t="s">
        <v>1152</v>
      </c>
      <c r="C10" t="s">
        <v>1153</v>
      </c>
      <c r="D10" t="s">
        <v>1154</v>
      </c>
      <c r="E10">
        <v>0</v>
      </c>
      <c r="F10">
        <v>0</v>
      </c>
      <c r="G10">
        <f t="shared" si="0"/>
        <v>0</v>
      </c>
      <c r="H10">
        <v>0</v>
      </c>
      <c r="I10">
        <v>0</v>
      </c>
      <c r="J10">
        <v>1</v>
      </c>
      <c r="K10">
        <v>1</v>
      </c>
      <c r="L10">
        <f t="shared" si="1"/>
        <v>1</v>
      </c>
      <c r="M10">
        <v>0</v>
      </c>
      <c r="N10">
        <f t="shared" si="2"/>
        <v>0</v>
      </c>
      <c r="O10">
        <v>0</v>
      </c>
    </row>
    <row r="11" spans="1:15" x14ac:dyDescent="0.25">
      <c r="A11">
        <v>210</v>
      </c>
      <c r="B11" s="4" t="s">
        <v>1155</v>
      </c>
      <c r="C11" t="s">
        <v>1156</v>
      </c>
      <c r="D11" t="s">
        <v>1157</v>
      </c>
      <c r="E11">
        <v>0</v>
      </c>
      <c r="F11">
        <v>0</v>
      </c>
      <c r="G11">
        <f t="shared" si="0"/>
        <v>0</v>
      </c>
      <c r="H11">
        <v>0</v>
      </c>
      <c r="I11">
        <v>0</v>
      </c>
      <c r="J11">
        <v>1</v>
      </c>
      <c r="K11">
        <v>1</v>
      </c>
      <c r="L11">
        <f t="shared" si="1"/>
        <v>1</v>
      </c>
      <c r="M11">
        <v>0</v>
      </c>
      <c r="N11">
        <f t="shared" si="2"/>
        <v>0</v>
      </c>
      <c r="O11">
        <v>0</v>
      </c>
    </row>
    <row r="12" spans="1:15" x14ac:dyDescent="0.25">
      <c r="A12">
        <v>211</v>
      </c>
      <c r="B12" s="4" t="s">
        <v>1158</v>
      </c>
      <c r="C12" t="s">
        <v>1159</v>
      </c>
      <c r="D12" t="s">
        <v>1160</v>
      </c>
      <c r="E12">
        <v>0</v>
      </c>
      <c r="F12">
        <v>0</v>
      </c>
      <c r="G12">
        <f t="shared" si="0"/>
        <v>0</v>
      </c>
      <c r="H12">
        <v>0</v>
      </c>
      <c r="I12">
        <v>0</v>
      </c>
      <c r="J12">
        <v>1</v>
      </c>
      <c r="K12">
        <v>1</v>
      </c>
      <c r="L12">
        <f t="shared" si="1"/>
        <v>1</v>
      </c>
      <c r="M12">
        <v>0</v>
      </c>
      <c r="N12">
        <f t="shared" si="2"/>
        <v>0</v>
      </c>
      <c r="O12">
        <v>0</v>
      </c>
    </row>
    <row r="13" spans="1:15" x14ac:dyDescent="0.25">
      <c r="A13">
        <v>212</v>
      </c>
      <c r="B13" s="4" t="s">
        <v>1161</v>
      </c>
      <c r="C13" t="s">
        <v>1162</v>
      </c>
      <c r="D13" t="s">
        <v>1163</v>
      </c>
      <c r="E13">
        <v>0</v>
      </c>
      <c r="F13">
        <v>0</v>
      </c>
      <c r="G13">
        <f t="shared" si="0"/>
        <v>0</v>
      </c>
      <c r="H13">
        <v>0</v>
      </c>
      <c r="I13">
        <v>0</v>
      </c>
      <c r="J13">
        <v>1</v>
      </c>
      <c r="K13">
        <v>1</v>
      </c>
      <c r="L13">
        <f t="shared" si="1"/>
        <v>1</v>
      </c>
      <c r="M13">
        <v>0</v>
      </c>
      <c r="N13">
        <f t="shared" si="2"/>
        <v>0</v>
      </c>
      <c r="O13">
        <v>1</v>
      </c>
    </row>
  </sheetData>
  <conditionalFormatting sqref="E2:O13">
    <cfRule type="cellIs" dxfId="3" priority="2" operator="equal">
      <formula>1</formula>
    </cfRule>
  </conditionalFormatting>
  <pageMargins left="0.7" right="0.7" top="0.75" bottom="0.75" header="0.51180555555555496" footer="0.51180555555555496"/>
  <pageSetup paperSize="9" firstPageNumber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"/>
  <sheetViews>
    <sheetView zoomScaleNormal="100" workbookViewId="0">
      <selection activeCell="K33" activeCellId="30" sqref="B15:B16 B26 B59:B60 B62:C62 B88:C88 B99:C99 B106:C106 B108:C108 B110:C110 B112:C112 B114:C114 B116:B117 B123 B127 B133 B135 B138 B149:B151 B158 B161:B162 B170 B176:B191 B193:B196 B200 C17:C18 C60 C103 C116 C128 C152 K33"/>
    </sheetView>
  </sheetViews>
  <sheetFormatPr defaultRowHeight="15" x14ac:dyDescent="0.25"/>
  <cols>
    <col min="1" max="1" width="12.7109375"/>
    <col min="2" max="2" width="103.140625"/>
    <col min="5" max="7" width="14.85546875"/>
    <col min="8" max="8" width="18.28515625"/>
    <col min="9" max="11" width="19.140625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1117</v>
      </c>
      <c r="F1" s="1" t="s">
        <v>1118</v>
      </c>
      <c r="G1" s="1" t="s">
        <v>1119</v>
      </c>
      <c r="H1" s="1" t="s">
        <v>1121</v>
      </c>
      <c r="I1" s="1" t="s">
        <v>1122</v>
      </c>
      <c r="J1" s="1" t="s">
        <v>1123</v>
      </c>
      <c r="K1" s="1" t="s">
        <v>1124</v>
      </c>
      <c r="L1" s="1" t="s">
        <v>1164</v>
      </c>
      <c r="M1" s="1" t="s">
        <v>1165</v>
      </c>
      <c r="N1" s="1" t="s">
        <v>1166</v>
      </c>
      <c r="O1" s="1" t="s">
        <v>1167</v>
      </c>
      <c r="P1" s="1" t="s">
        <v>1125</v>
      </c>
      <c r="Q1" s="1" t="s">
        <v>1126</v>
      </c>
    </row>
    <row r="2" spans="1:17" x14ac:dyDescent="0.25">
      <c r="A2">
        <v>201</v>
      </c>
      <c r="B2" s="3" t="s">
        <v>1128</v>
      </c>
      <c r="C2" t="s">
        <v>1129</v>
      </c>
      <c r="D2" t="s">
        <v>1130</v>
      </c>
      <c r="E2">
        <v>1</v>
      </c>
      <c r="F2">
        <v>0</v>
      </c>
      <c r="G2">
        <f t="shared" ref="G2:G26" si="0">IF(OR(E2, F2),1,0)</f>
        <v>1</v>
      </c>
      <c r="H2">
        <v>0</v>
      </c>
      <c r="I2">
        <v>0</v>
      </c>
      <c r="J2">
        <v>0</v>
      </c>
      <c r="K2">
        <f t="shared" ref="K2:K26" si="1">IF(OR(J2,G2),1,0)</f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f t="shared" ref="Q2:Q26" si="2">IF(OR(E2:O2),0,1)</f>
        <v>0</v>
      </c>
    </row>
    <row r="3" spans="1:17" x14ac:dyDescent="0.25">
      <c r="A3">
        <v>202</v>
      </c>
      <c r="B3" s="4" t="s">
        <v>1131</v>
      </c>
      <c r="C3" t="s">
        <v>1132</v>
      </c>
      <c r="D3" t="s">
        <v>1133</v>
      </c>
      <c r="E3">
        <v>1</v>
      </c>
      <c r="F3">
        <v>0</v>
      </c>
      <c r="G3">
        <f t="shared" si="0"/>
        <v>1</v>
      </c>
      <c r="H3">
        <v>0</v>
      </c>
      <c r="I3">
        <v>0</v>
      </c>
      <c r="J3">
        <v>0</v>
      </c>
      <c r="K3">
        <f t="shared" si="1"/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f t="shared" si="2"/>
        <v>0</v>
      </c>
    </row>
    <row r="4" spans="1:17" x14ac:dyDescent="0.25">
      <c r="A4">
        <v>203</v>
      </c>
      <c r="B4" s="4" t="s">
        <v>1134</v>
      </c>
      <c r="C4" t="s">
        <v>1135</v>
      </c>
      <c r="D4" t="s">
        <v>1136</v>
      </c>
      <c r="E4">
        <v>0</v>
      </c>
      <c r="F4">
        <v>1</v>
      </c>
      <c r="G4">
        <f t="shared" si="0"/>
        <v>1</v>
      </c>
      <c r="H4">
        <v>0</v>
      </c>
      <c r="I4">
        <v>0</v>
      </c>
      <c r="J4">
        <v>0</v>
      </c>
      <c r="K4">
        <f t="shared" si="1"/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f t="shared" si="2"/>
        <v>0</v>
      </c>
    </row>
    <row r="5" spans="1:17" x14ac:dyDescent="0.25">
      <c r="A5">
        <v>204</v>
      </c>
      <c r="B5" s="5" t="s">
        <v>1137</v>
      </c>
      <c r="C5" t="s">
        <v>1138</v>
      </c>
      <c r="D5" t="s">
        <v>1139</v>
      </c>
      <c r="E5">
        <v>1</v>
      </c>
      <c r="F5">
        <v>0</v>
      </c>
      <c r="G5">
        <f t="shared" si="0"/>
        <v>1</v>
      </c>
      <c r="H5">
        <v>0</v>
      </c>
      <c r="I5">
        <v>0</v>
      </c>
      <c r="J5">
        <v>1</v>
      </c>
      <c r="K5">
        <f t="shared" si="1"/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f t="shared" si="2"/>
        <v>0</v>
      </c>
    </row>
    <row r="6" spans="1:17" x14ac:dyDescent="0.25">
      <c r="A6">
        <v>205</v>
      </c>
      <c r="B6" s="3" t="s">
        <v>1140</v>
      </c>
      <c r="C6" t="s">
        <v>1141</v>
      </c>
      <c r="D6" t="s">
        <v>1142</v>
      </c>
      <c r="E6">
        <v>0</v>
      </c>
      <c r="F6">
        <v>0</v>
      </c>
      <c r="G6">
        <f t="shared" si="0"/>
        <v>0</v>
      </c>
      <c r="H6">
        <v>1</v>
      </c>
      <c r="I6">
        <v>0</v>
      </c>
      <c r="J6">
        <v>1</v>
      </c>
      <c r="K6">
        <f t="shared" si="1"/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2"/>
        <v>0</v>
      </c>
    </row>
    <row r="7" spans="1:17" x14ac:dyDescent="0.25">
      <c r="A7">
        <v>206</v>
      </c>
      <c r="B7" s="4" t="s">
        <v>1143</v>
      </c>
      <c r="C7" t="s">
        <v>1144</v>
      </c>
      <c r="D7" t="s">
        <v>1145</v>
      </c>
      <c r="E7">
        <v>0</v>
      </c>
      <c r="F7">
        <v>0</v>
      </c>
      <c r="G7">
        <f t="shared" si="0"/>
        <v>0</v>
      </c>
      <c r="H7">
        <v>1</v>
      </c>
      <c r="I7">
        <v>0</v>
      </c>
      <c r="J7">
        <v>1</v>
      </c>
      <c r="K7">
        <f t="shared" si="1"/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f t="shared" si="2"/>
        <v>0</v>
      </c>
    </row>
    <row r="8" spans="1:17" x14ac:dyDescent="0.25">
      <c r="A8">
        <v>207</v>
      </c>
      <c r="B8" s="4" t="s">
        <v>1146</v>
      </c>
      <c r="C8" t="s">
        <v>1147</v>
      </c>
      <c r="D8" t="s">
        <v>1148</v>
      </c>
      <c r="E8">
        <v>0</v>
      </c>
      <c r="F8">
        <v>0</v>
      </c>
      <c r="G8">
        <f t="shared" si="0"/>
        <v>0</v>
      </c>
      <c r="H8">
        <v>1</v>
      </c>
      <c r="I8">
        <v>0</v>
      </c>
      <c r="J8">
        <v>1</v>
      </c>
      <c r="K8">
        <f t="shared" si="1"/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f t="shared" si="2"/>
        <v>0</v>
      </c>
    </row>
    <row r="9" spans="1:17" x14ac:dyDescent="0.25">
      <c r="A9">
        <v>208</v>
      </c>
      <c r="B9" s="4" t="s">
        <v>1149</v>
      </c>
      <c r="C9" t="s">
        <v>1150</v>
      </c>
      <c r="D9" t="s">
        <v>1151</v>
      </c>
      <c r="E9">
        <v>0</v>
      </c>
      <c r="F9">
        <v>0</v>
      </c>
      <c r="G9">
        <f t="shared" si="0"/>
        <v>0</v>
      </c>
      <c r="H9">
        <v>1</v>
      </c>
      <c r="I9">
        <v>0</v>
      </c>
      <c r="J9">
        <v>1</v>
      </c>
      <c r="K9">
        <f t="shared" si="1"/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f t="shared" si="2"/>
        <v>0</v>
      </c>
    </row>
    <row r="10" spans="1:17" x14ac:dyDescent="0.25">
      <c r="A10">
        <v>209</v>
      </c>
      <c r="B10" s="4" t="s">
        <v>1152</v>
      </c>
      <c r="C10" t="s">
        <v>1153</v>
      </c>
      <c r="D10" t="s">
        <v>1154</v>
      </c>
      <c r="E10">
        <v>0</v>
      </c>
      <c r="F10">
        <v>0</v>
      </c>
      <c r="G10">
        <f t="shared" si="0"/>
        <v>0</v>
      </c>
      <c r="H10">
        <v>0</v>
      </c>
      <c r="I10">
        <v>1</v>
      </c>
      <c r="J10">
        <v>1</v>
      </c>
      <c r="K10">
        <f t="shared" si="1"/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f t="shared" si="2"/>
        <v>0</v>
      </c>
    </row>
    <row r="11" spans="1:17" x14ac:dyDescent="0.25">
      <c r="A11">
        <v>210</v>
      </c>
      <c r="B11" s="4" t="s">
        <v>1155</v>
      </c>
      <c r="C11" t="s">
        <v>1156</v>
      </c>
      <c r="D11" t="s">
        <v>1157</v>
      </c>
      <c r="E11">
        <v>0</v>
      </c>
      <c r="F11">
        <v>0</v>
      </c>
      <c r="G11">
        <f t="shared" si="0"/>
        <v>0</v>
      </c>
      <c r="H11">
        <v>0</v>
      </c>
      <c r="I11">
        <v>1</v>
      </c>
      <c r="J11">
        <v>1</v>
      </c>
      <c r="K11">
        <f t="shared" si="1"/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f t="shared" si="2"/>
        <v>0</v>
      </c>
    </row>
    <row r="12" spans="1:17" x14ac:dyDescent="0.25">
      <c r="A12">
        <v>211</v>
      </c>
      <c r="B12" s="4" t="s">
        <v>1158</v>
      </c>
      <c r="C12" t="s">
        <v>1159</v>
      </c>
      <c r="D12" t="s">
        <v>1160</v>
      </c>
      <c r="E12">
        <v>0</v>
      </c>
      <c r="F12">
        <v>0</v>
      </c>
      <c r="G12">
        <f t="shared" si="0"/>
        <v>0</v>
      </c>
      <c r="H12">
        <v>0</v>
      </c>
      <c r="I12">
        <v>1</v>
      </c>
      <c r="J12">
        <v>1</v>
      </c>
      <c r="K12">
        <f t="shared" si="1"/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f t="shared" si="2"/>
        <v>0</v>
      </c>
    </row>
    <row r="13" spans="1:17" x14ac:dyDescent="0.25">
      <c r="A13">
        <v>212</v>
      </c>
      <c r="B13" s="4" t="s">
        <v>1161</v>
      </c>
      <c r="C13" t="s">
        <v>1162</v>
      </c>
      <c r="D13" t="s">
        <v>1163</v>
      </c>
      <c r="E13">
        <v>0</v>
      </c>
      <c r="F13">
        <v>0</v>
      </c>
      <c r="G13">
        <f t="shared" si="0"/>
        <v>0</v>
      </c>
      <c r="H13">
        <v>0</v>
      </c>
      <c r="I13">
        <v>1</v>
      </c>
      <c r="J13">
        <v>1</v>
      </c>
      <c r="K13">
        <f t="shared" si="1"/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f t="shared" si="2"/>
        <v>0</v>
      </c>
    </row>
    <row r="14" spans="1:17" x14ac:dyDescent="0.25">
      <c r="A14">
        <v>213</v>
      </c>
      <c r="B14" s="5" t="s">
        <v>1168</v>
      </c>
      <c r="C14" t="s">
        <v>1169</v>
      </c>
      <c r="D14" t="s">
        <v>1170</v>
      </c>
      <c r="E14">
        <v>0</v>
      </c>
      <c r="F14">
        <v>0</v>
      </c>
      <c r="G14">
        <f t="shared" si="0"/>
        <v>0</v>
      </c>
      <c r="H14">
        <v>0</v>
      </c>
      <c r="I14">
        <v>0</v>
      </c>
      <c r="J14">
        <v>0</v>
      </c>
      <c r="K14">
        <f t="shared" si="1"/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f t="shared" si="2"/>
        <v>0</v>
      </c>
    </row>
    <row r="15" spans="1:17" x14ac:dyDescent="0.25">
      <c r="A15">
        <v>214</v>
      </c>
      <c r="B15" s="5" t="s">
        <v>1171</v>
      </c>
      <c r="C15" t="s">
        <v>1172</v>
      </c>
      <c r="D15" t="s">
        <v>1173</v>
      </c>
      <c r="E15">
        <v>0</v>
      </c>
      <c r="F15">
        <v>0</v>
      </c>
      <c r="G15">
        <f t="shared" si="0"/>
        <v>0</v>
      </c>
      <c r="H15">
        <v>0</v>
      </c>
      <c r="I15">
        <v>0</v>
      </c>
      <c r="J15">
        <v>0</v>
      </c>
      <c r="K15">
        <f t="shared" si="1"/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f t="shared" si="2"/>
        <v>0</v>
      </c>
    </row>
    <row r="16" spans="1:17" x14ac:dyDescent="0.25">
      <c r="A16">
        <v>215</v>
      </c>
      <c r="B16" s="3" t="s">
        <v>1174</v>
      </c>
      <c r="C16" t="s">
        <v>1175</v>
      </c>
      <c r="D16" t="s">
        <v>1176</v>
      </c>
      <c r="E16">
        <v>0</v>
      </c>
      <c r="F16">
        <v>0</v>
      </c>
      <c r="G16">
        <f t="shared" si="0"/>
        <v>0</v>
      </c>
      <c r="H16">
        <v>0</v>
      </c>
      <c r="I16">
        <v>0</v>
      </c>
      <c r="J16">
        <v>0</v>
      </c>
      <c r="K16">
        <f t="shared" si="1"/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f t="shared" si="2"/>
        <v>0</v>
      </c>
    </row>
    <row r="17" spans="1:17" x14ac:dyDescent="0.25">
      <c r="A17">
        <v>216</v>
      </c>
      <c r="B17" s="4" t="s">
        <v>1177</v>
      </c>
      <c r="C17" t="s">
        <v>1178</v>
      </c>
      <c r="D17" t="s">
        <v>1179</v>
      </c>
      <c r="E17">
        <v>0</v>
      </c>
      <c r="F17">
        <v>0</v>
      </c>
      <c r="G17">
        <f t="shared" si="0"/>
        <v>0</v>
      </c>
      <c r="H17">
        <v>0</v>
      </c>
      <c r="I17">
        <v>0</v>
      </c>
      <c r="J17">
        <v>0</v>
      </c>
      <c r="K17">
        <f t="shared" si="1"/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f t="shared" si="2"/>
        <v>0</v>
      </c>
    </row>
    <row r="18" spans="1:17" x14ac:dyDescent="0.25">
      <c r="A18">
        <v>217</v>
      </c>
      <c r="B18" s="4" t="s">
        <v>1180</v>
      </c>
      <c r="C18" t="s">
        <v>1181</v>
      </c>
      <c r="D18" t="s">
        <v>1182</v>
      </c>
      <c r="E18">
        <v>0</v>
      </c>
      <c r="F18">
        <v>0</v>
      </c>
      <c r="G18">
        <f t="shared" si="0"/>
        <v>0</v>
      </c>
      <c r="H18">
        <v>0</v>
      </c>
      <c r="I18">
        <v>0</v>
      </c>
      <c r="J18">
        <v>0</v>
      </c>
      <c r="K18">
        <f t="shared" si="1"/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f t="shared" si="2"/>
        <v>0</v>
      </c>
    </row>
    <row r="19" spans="1:17" x14ac:dyDescent="0.25">
      <c r="A19">
        <v>218</v>
      </c>
      <c r="B19" s="4" t="s">
        <v>1183</v>
      </c>
      <c r="C19" t="s">
        <v>1184</v>
      </c>
      <c r="D19" t="s">
        <v>1185</v>
      </c>
      <c r="E19">
        <v>0</v>
      </c>
      <c r="F19">
        <v>0</v>
      </c>
      <c r="G19">
        <f t="shared" si="0"/>
        <v>0</v>
      </c>
      <c r="H19">
        <v>0</v>
      </c>
      <c r="I19">
        <v>0</v>
      </c>
      <c r="J19">
        <v>0</v>
      </c>
      <c r="K19">
        <f t="shared" si="1"/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f t="shared" si="2"/>
        <v>0</v>
      </c>
    </row>
    <row r="20" spans="1:17" x14ac:dyDescent="0.25">
      <c r="A20">
        <v>219</v>
      </c>
      <c r="B20" s="3" t="s">
        <v>1186</v>
      </c>
      <c r="C20" t="s">
        <v>1187</v>
      </c>
      <c r="D20" t="s">
        <v>1188</v>
      </c>
      <c r="E20">
        <v>0</v>
      </c>
      <c r="F20">
        <v>0</v>
      </c>
      <c r="G20">
        <f t="shared" si="0"/>
        <v>0</v>
      </c>
      <c r="H20">
        <v>0</v>
      </c>
      <c r="I20">
        <v>0</v>
      </c>
      <c r="J20">
        <v>0</v>
      </c>
      <c r="K20">
        <f t="shared" si="1"/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f t="shared" si="2"/>
        <v>0</v>
      </c>
    </row>
    <row r="21" spans="1:17" x14ac:dyDescent="0.25">
      <c r="A21">
        <v>220</v>
      </c>
      <c r="B21" s="4" t="s">
        <v>1189</v>
      </c>
      <c r="C21" t="s">
        <v>1190</v>
      </c>
      <c r="D21" t="s">
        <v>1191</v>
      </c>
      <c r="E21">
        <v>0</v>
      </c>
      <c r="F21">
        <v>0</v>
      </c>
      <c r="G21">
        <f t="shared" si="0"/>
        <v>0</v>
      </c>
      <c r="H21">
        <v>0</v>
      </c>
      <c r="I21">
        <v>0</v>
      </c>
      <c r="J21">
        <v>0</v>
      </c>
      <c r="K21">
        <f t="shared" si="1"/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f t="shared" si="2"/>
        <v>0</v>
      </c>
    </row>
    <row r="22" spans="1:17" x14ac:dyDescent="0.25">
      <c r="A22">
        <v>221</v>
      </c>
      <c r="B22" s="4" t="s">
        <v>1192</v>
      </c>
      <c r="C22" t="s">
        <v>1193</v>
      </c>
      <c r="D22" t="s">
        <v>1194</v>
      </c>
      <c r="E22">
        <v>0</v>
      </c>
      <c r="F22">
        <v>0</v>
      </c>
      <c r="G22">
        <f t="shared" si="0"/>
        <v>0</v>
      </c>
      <c r="H22">
        <v>0</v>
      </c>
      <c r="I22">
        <v>0</v>
      </c>
      <c r="J22">
        <v>0</v>
      </c>
      <c r="K22">
        <f t="shared" si="1"/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f t="shared" si="2"/>
        <v>0</v>
      </c>
    </row>
    <row r="23" spans="1:17" x14ac:dyDescent="0.25">
      <c r="A23">
        <v>222</v>
      </c>
      <c r="B23" s="4" t="s">
        <v>1195</v>
      </c>
      <c r="C23" t="s">
        <v>1196</v>
      </c>
      <c r="D23" t="s">
        <v>1197</v>
      </c>
      <c r="E23">
        <v>0</v>
      </c>
      <c r="F23">
        <v>0</v>
      </c>
      <c r="G23">
        <f t="shared" si="0"/>
        <v>0</v>
      </c>
      <c r="H23">
        <v>0</v>
      </c>
      <c r="I23">
        <v>0</v>
      </c>
      <c r="J23">
        <v>0</v>
      </c>
      <c r="K23">
        <f t="shared" si="1"/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f t="shared" si="2"/>
        <v>0</v>
      </c>
    </row>
    <row r="24" spans="1:17" x14ac:dyDescent="0.25">
      <c r="A24">
        <v>223</v>
      </c>
      <c r="B24" s="5" t="s">
        <v>1198</v>
      </c>
      <c r="C24" t="s">
        <v>1199</v>
      </c>
      <c r="D24" t="s">
        <v>1200</v>
      </c>
      <c r="E24">
        <v>0</v>
      </c>
      <c r="F24">
        <v>0</v>
      </c>
      <c r="G24">
        <f t="shared" si="0"/>
        <v>0</v>
      </c>
      <c r="H24">
        <v>0</v>
      </c>
      <c r="I24">
        <v>0</v>
      </c>
      <c r="J24">
        <v>0</v>
      </c>
      <c r="K24">
        <f t="shared" si="1"/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f t="shared" si="2"/>
        <v>0</v>
      </c>
    </row>
    <row r="25" spans="1:17" x14ac:dyDescent="0.25">
      <c r="A25">
        <v>224</v>
      </c>
      <c r="B25" s="5" t="s">
        <v>1201</v>
      </c>
      <c r="C25" t="s">
        <v>1202</v>
      </c>
      <c r="D25" t="s">
        <v>1203</v>
      </c>
      <c r="E25">
        <v>0</v>
      </c>
      <c r="F25">
        <v>0</v>
      </c>
      <c r="G25">
        <f t="shared" si="0"/>
        <v>0</v>
      </c>
      <c r="H25">
        <v>0</v>
      </c>
      <c r="I25">
        <v>0</v>
      </c>
      <c r="J25">
        <v>0</v>
      </c>
      <c r="K25">
        <f t="shared" si="1"/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f t="shared" si="2"/>
        <v>0</v>
      </c>
    </row>
    <row r="26" spans="1:17" x14ac:dyDescent="0.25">
      <c r="A26">
        <v>225</v>
      </c>
      <c r="B26" s="5" t="s">
        <v>1204</v>
      </c>
      <c r="C26" t="s">
        <v>1205</v>
      </c>
      <c r="D26" t="s">
        <v>1206</v>
      </c>
      <c r="E26">
        <v>0</v>
      </c>
      <c r="F26">
        <v>0</v>
      </c>
      <c r="G26">
        <f t="shared" si="0"/>
        <v>0</v>
      </c>
      <c r="H26">
        <v>0</v>
      </c>
      <c r="I26">
        <v>0</v>
      </c>
      <c r="J26">
        <v>0</v>
      </c>
      <c r="K26">
        <f t="shared" si="1"/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f t="shared" si="2"/>
        <v>0</v>
      </c>
    </row>
    <row r="29" spans="1:17" s="6" customFormat="1" ht="23.25" x14ac:dyDescent="0.35">
      <c r="B29" s="7" t="s">
        <v>1207</v>
      </c>
    </row>
    <row r="30" spans="1:17" s="6" customFormat="1" ht="23.25" x14ac:dyDescent="0.35">
      <c r="B30" s="7" t="s">
        <v>1208</v>
      </c>
    </row>
    <row r="31" spans="1:17" s="6" customFormat="1" ht="23.25" x14ac:dyDescent="0.35">
      <c r="B31" s="7" t="s">
        <v>1209</v>
      </c>
    </row>
  </sheetData>
  <conditionalFormatting sqref="E2:Q26">
    <cfRule type="cellIs" dxfId="2" priority="2" operator="equal">
      <formula>1</formula>
    </cfRule>
  </conditionalFormatting>
  <pageMargins left="0.7" right="0.7" top="0.75" bottom="0.75" header="0.51180555555555496" footer="0.51180555555555496"/>
  <pageSetup paperSize="9" firstPageNumber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zoomScaleNormal="100" workbookViewId="0">
      <selection activeCell="G14" activeCellId="30" sqref="B15:B16 B26 B59:B60 B62:C62 B88:C88 B99:C99 B106:C106 B108:C108 B110:C110 B112:C112 B114:C114 B116:B117 B123 B127 B133 B135 B138 B149:B151 B158 B161:B162 B170 B176:B191 B193:B196 B200 C17:C18 C60 C103 C116 C128 C152 G14"/>
    </sheetView>
  </sheetViews>
  <sheetFormatPr defaultRowHeight="15" x14ac:dyDescent="0.25"/>
  <cols>
    <col min="2" max="2" width="93.140625"/>
    <col min="7" max="7" width="14.85546875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1210</v>
      </c>
      <c r="F1" s="1" t="s">
        <v>1211</v>
      </c>
      <c r="G1" s="1" t="s">
        <v>1212</v>
      </c>
      <c r="H1" s="1" t="s">
        <v>1213</v>
      </c>
      <c r="I1" s="1" t="s">
        <v>1214</v>
      </c>
      <c r="J1" s="1" t="s">
        <v>1127</v>
      </c>
    </row>
    <row r="2" spans="1:10" x14ac:dyDescent="0.25">
      <c r="A2">
        <v>164</v>
      </c>
      <c r="B2" t="s">
        <v>1215</v>
      </c>
      <c r="C2" t="s">
        <v>1216</v>
      </c>
      <c r="D2" t="s">
        <v>1217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</row>
    <row r="3" spans="1:10" x14ac:dyDescent="0.25">
      <c r="A3">
        <v>165</v>
      </c>
      <c r="B3" t="s">
        <v>1218</v>
      </c>
      <c r="C3" t="s">
        <v>1219</v>
      </c>
      <c r="D3" t="s">
        <v>1220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</row>
    <row r="4" spans="1:10" x14ac:dyDescent="0.25">
      <c r="A4">
        <v>166</v>
      </c>
      <c r="B4" t="s">
        <v>1221</v>
      </c>
      <c r="C4" t="s">
        <v>1222</v>
      </c>
      <c r="D4" t="s">
        <v>1223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5">
      <c r="A5">
        <v>167</v>
      </c>
      <c r="B5" t="s">
        <v>1224</v>
      </c>
      <c r="C5" t="s">
        <v>1225</v>
      </c>
      <c r="D5" t="s">
        <v>1226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</row>
    <row r="6" spans="1:10" x14ac:dyDescent="0.25">
      <c r="A6">
        <v>168</v>
      </c>
      <c r="B6" t="s">
        <v>1227</v>
      </c>
      <c r="C6" t="s">
        <v>1228</v>
      </c>
      <c r="D6" t="s">
        <v>1229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</row>
    <row r="7" spans="1:10" x14ac:dyDescent="0.25">
      <c r="A7">
        <v>169</v>
      </c>
      <c r="B7" t="s">
        <v>1230</v>
      </c>
      <c r="C7" t="s">
        <v>1231</v>
      </c>
      <c r="D7" t="s">
        <v>1232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</row>
    <row r="8" spans="1:10" x14ac:dyDescent="0.25">
      <c r="A8">
        <v>170</v>
      </c>
      <c r="B8" t="s">
        <v>1233</v>
      </c>
      <c r="C8" t="s">
        <v>1234</v>
      </c>
      <c r="D8" t="s">
        <v>1235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</row>
  </sheetData>
  <conditionalFormatting sqref="E2:J8">
    <cfRule type="cellIs" dxfId="1" priority="2" operator="equal">
      <formula>1</formula>
    </cfRule>
  </conditionalFormatting>
  <pageMargins left="0.7" right="0.7" top="0.75" bottom="0.75" header="0.51180555555555496" footer="0.51180555555555496"/>
  <pageSetup paperSize="9" firstPageNumber="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L204"/>
  <sheetViews>
    <sheetView topLeftCell="A187" zoomScaleNormal="100" workbookViewId="0">
      <selection activeCell="J219" activeCellId="30" sqref="B15:B16 B26 B59:B60 B62:C62 B88:C88 B99:C99 B106:C106 B108:C108 B110:C110 B112:C112 B114:C114 B116:B117 B123 B127 B133 B135 B138 B149:B151 B158 B161:B162 B170 B176:B191 B193:B196 B200 C17:C18 C60 C103 C116 C128 C152 J219"/>
    </sheetView>
  </sheetViews>
  <sheetFormatPr defaultRowHeight="15" x14ac:dyDescent="0.25"/>
  <cols>
    <col min="2" max="2" width="38.5703125"/>
  </cols>
  <sheetData>
    <row r="1" spans="1:168" x14ac:dyDescent="0.25">
      <c r="A1" t="s">
        <v>1236</v>
      </c>
      <c r="E1">
        <f t="array" ref="E1:FK4">TRANSPOSE(industries!A2:D164)</f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</row>
    <row r="2" spans="1:168" x14ac:dyDescent="0.25">
      <c r="B2" t="s">
        <v>1</v>
      </c>
      <c r="E2" t="str">
        <v>Cultivation of paddy rice</v>
      </c>
      <c r="F2" t="str">
        <v>Cultivation of wheat</v>
      </c>
      <c r="G2" t="str">
        <v>Cultivation of cereal grains nec</v>
      </c>
      <c r="H2" t="str">
        <v>Cultivation of vegetables, fruit, nuts</v>
      </c>
      <c r="I2" t="str">
        <v>Cultivation of oil seeds</v>
      </c>
      <c r="J2" t="str">
        <v>Cultivation of sugar cane, sugar beet</v>
      </c>
      <c r="K2" t="str">
        <v>Cultivation of plant-based fibers</v>
      </c>
      <c r="L2" t="str">
        <v>Cultivation of crops nec</v>
      </c>
      <c r="M2" t="str">
        <v>Cattle farming</v>
      </c>
      <c r="N2" t="str">
        <v>Pigs farming</v>
      </c>
      <c r="O2" t="str">
        <v>Poultry farming</v>
      </c>
      <c r="P2" t="str">
        <v>Meat animals nec</v>
      </c>
      <c r="Q2" t="str">
        <v>Animal products nec</v>
      </c>
      <c r="R2" t="str">
        <v>Raw milk</v>
      </c>
      <c r="S2" t="str">
        <v>Wool, silk-worm cocoons</v>
      </c>
      <c r="T2" t="str">
        <v>Manure treatment (conventional), storage and land application</v>
      </c>
      <c r="U2" t="str">
        <v>Manure treatment (biogas), storage and land application</v>
      </c>
      <c r="V2" t="str">
        <v>Forestry, logging and related service activities (02)</v>
      </c>
      <c r="W2" t="str">
        <v>Fishing, operating of fish hatcheries and fish farms; service activities incidental to fishing (05)</v>
      </c>
      <c r="X2" t="str">
        <v>Mining of coal and lignite; extraction of peat (10)</v>
      </c>
      <c r="Y2" t="str">
        <v>Extraction of crude petroleum and services related to crude oil extraction, excluding surveying</v>
      </c>
      <c r="Z2" t="str">
        <v>Extraction of natural gas and services related to natural gas extraction, excluding surveying</v>
      </c>
      <c r="AA2" t="str">
        <v>Extraction, liquefaction, and regasification of other petroleum and gaseous materials</v>
      </c>
      <c r="AB2" t="str">
        <v>Mining of uranium and thorium ores (12)</v>
      </c>
      <c r="AC2" t="str">
        <v>Mining of iron ores</v>
      </c>
      <c r="AD2" t="str">
        <v>Mining of copper ores and concentrates</v>
      </c>
      <c r="AE2" t="str">
        <v>Mining of nickel ores and concentrates</v>
      </c>
      <c r="AF2" t="str">
        <v>Mining of aluminium ores and concentrates</v>
      </c>
      <c r="AG2" t="str">
        <v>Mining of precious metal ores and concentrates</v>
      </c>
      <c r="AH2" t="str">
        <v>Mining of lead, zinc and tin ores and concentrates</v>
      </c>
      <c r="AI2" t="str">
        <v>Mining of other non-ferrous metal ores and concentrates</v>
      </c>
      <c r="AJ2" t="str">
        <v>Quarrying of stone</v>
      </c>
      <c r="AK2" t="str">
        <v>Quarrying of sand and clay</v>
      </c>
      <c r="AL2" t="str">
        <v>Mining of chemical and fertilizer minerals, production of salt, other mining and quarrying n.e.c.</v>
      </c>
      <c r="AM2" t="str">
        <v>Processing of meat cattle</v>
      </c>
      <c r="AN2" t="str">
        <v>Processing of meat pigs</v>
      </c>
      <c r="AO2" t="str">
        <v>Processing of meat poultry</v>
      </c>
      <c r="AP2" t="str">
        <v>Production of meat products nec</v>
      </c>
      <c r="AQ2" t="str">
        <v>Processing vegetable oils and fats</v>
      </c>
      <c r="AR2" t="str">
        <v>Processing of dairy products</v>
      </c>
      <c r="AS2" t="str">
        <v>Processed rice</v>
      </c>
      <c r="AT2" t="str">
        <v>Sugar refining</v>
      </c>
      <c r="AU2" t="str">
        <v>Processing of Food products nec</v>
      </c>
      <c r="AV2" t="str">
        <v>Manufacture of beverages</v>
      </c>
      <c r="AW2" t="str">
        <v>Manufacture of fish products</v>
      </c>
      <c r="AX2" t="str">
        <v>Manufacture of tobacco products (16)</v>
      </c>
      <c r="AY2" t="str">
        <v>Manufacture of textiles (17)</v>
      </c>
      <c r="AZ2" t="str">
        <v>Manufacture of wearing apparel; dressing and dyeing of fur (18)</v>
      </c>
      <c r="BA2" t="str">
        <v>Tanning and dressing of leather; manufacture of luggage, handbags, saddlery, harness and footwear (19)</v>
      </c>
      <c r="BB2" t="str">
        <v>Manufacture of wood and of products of wood and cork, except furniture; manufacture of articles of straw and plaiting materials (20)</v>
      </c>
      <c r="BC2" t="str">
        <v>Re-processing of secondary wood material into new wood material</v>
      </c>
      <c r="BD2" t="str">
        <v>Pulp</v>
      </c>
      <c r="BE2" t="str">
        <v>Re-processing of secondary paper into new pulp</v>
      </c>
      <c r="BF2" t="str">
        <v>Paper</v>
      </c>
      <c r="BG2" t="str">
        <v>Publishing, printing and reproduction of recorded media (22)</v>
      </c>
      <c r="BH2" t="str">
        <v>Manufacture of coke oven products</v>
      </c>
      <c r="BI2" t="str">
        <v>Petroleum Refinery</v>
      </c>
      <c r="BJ2" t="str">
        <v>Processing of nuclear fuel</v>
      </c>
      <c r="BK2" t="str">
        <v>Plastics, basic</v>
      </c>
      <c r="BL2" t="str">
        <v>Re-processing of secondary plastic into new plastic</v>
      </c>
      <c r="BM2" t="str">
        <v>N-fertiliser</v>
      </c>
      <c r="BN2" t="str">
        <v>P- and other fertiliser</v>
      </c>
      <c r="BO2" t="str">
        <v>Chemicals nec</v>
      </c>
      <c r="BP2" t="str">
        <v>Manufacture of rubber and plastic products (25)</v>
      </c>
      <c r="BQ2" t="str">
        <v>Manufacture of glass and glass products</v>
      </c>
      <c r="BR2" t="str">
        <v>Re-processing of secondary glass into new glass</v>
      </c>
      <c r="BS2" t="str">
        <v>Manufacture of ceramic goods</v>
      </c>
      <c r="BT2" t="str">
        <v>Manufacture of bricks, tiles and construction products, in baked clay</v>
      </c>
      <c r="BU2" t="str">
        <v>Manufacture of cement, lime and plaster</v>
      </c>
      <c r="BV2" t="str">
        <v>Re-processing of ash into clinker</v>
      </c>
      <c r="BW2" t="str">
        <v>Manufacture of other non-metallic mineral products n.e.c.</v>
      </c>
      <c r="BX2" t="str">
        <v>Manufacture of basic iron and steel and of ferro-alloys and first products thereof</v>
      </c>
      <c r="BY2" t="str">
        <v>Re-processing of secondary steel into new steel</v>
      </c>
      <c r="BZ2" t="str">
        <v>Precious metals production</v>
      </c>
      <c r="CA2" t="str">
        <v>Re-processing of secondary preciuos metals into new preciuos metals</v>
      </c>
      <c r="CB2" t="str">
        <v>Aluminium production</v>
      </c>
      <c r="CC2" t="str">
        <v>Re-processing of secondary aluminium into new aluminium</v>
      </c>
      <c r="CD2" t="str">
        <v>Lead, zinc and tin production</v>
      </c>
      <c r="CE2" t="str">
        <v>Re-processing of secondary lead into new lead, zinc and tin</v>
      </c>
      <c r="CF2" t="str">
        <v>Copper production</v>
      </c>
      <c r="CG2" t="str">
        <v>Re-processing of secondary copper into new copper</v>
      </c>
      <c r="CH2" t="str">
        <v>Other non-ferrous metal production</v>
      </c>
      <c r="CI2" t="str">
        <v>Re-processing of secondary other non-ferrous metals into new other non-ferrous metals</v>
      </c>
      <c r="CJ2" t="str">
        <v>Casting of metals</v>
      </c>
      <c r="CK2" t="str">
        <v>Manufacture of fabricated metal products, except machinery and equipment (28)</v>
      </c>
      <c r="CL2" t="str">
        <v>Manufacture of machinery and equipment n.e.c. (29)</v>
      </c>
      <c r="CM2" t="str">
        <v>Manufacture of office machinery and computers (30)</v>
      </c>
      <c r="CN2" t="str">
        <v>Manufacture of electrical machinery and apparatus n.e.c. (31)</v>
      </c>
      <c r="CO2" t="str">
        <v>Manufacture of radio, television and communication equipment and apparatus (32)</v>
      </c>
      <c r="CP2" t="str">
        <v>Manufacture of medical, precision and optical instruments, watches and clocks (33)</v>
      </c>
      <c r="CQ2" t="str">
        <v>Manufacture of motor vehicles, trailers and semi-trailers (34)</v>
      </c>
      <c r="CR2" t="str">
        <v>Manufacture of other transport equipment (35)</v>
      </c>
      <c r="CS2" t="str">
        <v>Manufacture of furniture; manufacturing n.e.c. (36)</v>
      </c>
      <c r="CT2" t="str">
        <v>Recycling of waste and scrap</v>
      </c>
      <c r="CU2" t="str">
        <v>Recycling of bottles by direct reuse</v>
      </c>
      <c r="CV2" t="str">
        <v>Production of electricity by coal</v>
      </c>
      <c r="CW2" t="str">
        <v>Production of electricity by gas</v>
      </c>
      <c r="CX2" t="str">
        <v>Production of electricity by nuclear</v>
      </c>
      <c r="CY2" t="str">
        <v>Production of electricity by hydro</v>
      </c>
      <c r="CZ2" t="str">
        <v>Production of electricity by wind</v>
      </c>
      <c r="DA2" t="str">
        <v>Production of electricity by petroleum and other oil derivatives</v>
      </c>
      <c r="DB2" t="str">
        <v>Production of electricity by biomass and waste</v>
      </c>
      <c r="DC2" t="str">
        <v>Production of electricity by solar photovoltaic</v>
      </c>
      <c r="DD2" t="str">
        <v>Production of electricity by solar thermal</v>
      </c>
      <c r="DE2" t="str">
        <v>Production of electricity by tide, wave, ocean</v>
      </c>
      <c r="DF2" t="str">
        <v>Production of electricity by Geothermal</v>
      </c>
      <c r="DG2" t="str">
        <v>Production of electricity nec</v>
      </c>
      <c r="DH2" t="str">
        <v>Transmission of electricity</v>
      </c>
      <c r="DI2" t="str">
        <v>Distribution and trade of electricity</v>
      </c>
      <c r="DJ2" t="str">
        <v>Manufacture of gas; distribution of gaseous fuels through mains</v>
      </c>
      <c r="DK2" t="str">
        <v>Steam and hot water supply</v>
      </c>
      <c r="DL2" t="str">
        <v>Collection, purification and distribution of water (41)</v>
      </c>
      <c r="DM2" t="str">
        <v>Construction (45)</v>
      </c>
      <c r="DN2" t="str">
        <v>Re-processing of secondary construction material into aggregates</v>
      </c>
      <c r="DO2" t="str">
        <v>Sale, maintenance, repair of motor vehicles, motor vehicles parts, motorcycles, motor cycles parts and accessoiries</v>
      </c>
      <c r="DP2" t="str">
        <v>Retail sale of automotive fuel</v>
      </c>
      <c r="DQ2" t="str">
        <v>Wholesale trade and commission trade, except of motor vehicles and motorcycles (51)</v>
      </c>
      <c r="DR2" t="str">
        <v>Retail trade, except of motor vehicles and motorcycles; repair of personal and household goods (52)</v>
      </c>
      <c r="DS2" t="str">
        <v>Hotels and restaurants (55)</v>
      </c>
      <c r="DT2" t="str">
        <v>Transport via railways</v>
      </c>
      <c r="DU2" t="str">
        <v>Other land transport</v>
      </c>
      <c r="DV2" t="str">
        <v>Transport via pipelines</v>
      </c>
      <c r="DW2" t="str">
        <v>Sea and coastal water transport</v>
      </c>
      <c r="DX2" t="str">
        <v>Inland water transport</v>
      </c>
      <c r="DY2" t="str">
        <v>Air transport (62)</v>
      </c>
      <c r="DZ2" t="str">
        <v>Supporting and auxiliary transport activities; activities of travel agencies (63)</v>
      </c>
      <c r="EA2" t="str">
        <v>Post and telecommunications (64)</v>
      </c>
      <c r="EB2" t="str">
        <v>Financial intermediation, except insurance and pension funding (65)</v>
      </c>
      <c r="EC2" t="str">
        <v>Insurance and pension funding, except compulsory social security (66)</v>
      </c>
      <c r="ED2" t="str">
        <v>Activities auxiliary to financial intermediation (67)</v>
      </c>
      <c r="EE2" t="str">
        <v>Real estate activities (70)</v>
      </c>
      <c r="EF2" t="str">
        <v>Renting of machinery and equipment without operator and of personal and household goods (71)</v>
      </c>
      <c r="EG2" t="str">
        <v>Computer and related activities (72)</v>
      </c>
      <c r="EH2" t="str">
        <v>Research and development (73)</v>
      </c>
      <c r="EI2" t="str">
        <v>Other business activities (74)</v>
      </c>
      <c r="EJ2" t="str">
        <v>Public administration and defence; compulsory social security (75)</v>
      </c>
      <c r="EK2" t="str">
        <v>Education (80)</v>
      </c>
      <c r="EL2" t="str">
        <v>Health and social work (85)</v>
      </c>
      <c r="EM2" t="str">
        <v>Incineration of waste: Food</v>
      </c>
      <c r="EN2" t="str">
        <v>Incineration of waste: Paper</v>
      </c>
      <c r="EO2" t="str">
        <v>Incineration of waste: Plastic</v>
      </c>
      <c r="EP2" t="str">
        <v>Incineration of waste: Metals and Inert materials</v>
      </c>
      <c r="EQ2" t="str">
        <v>Incineration of waste: Textiles</v>
      </c>
      <c r="ER2" t="str">
        <v>Incineration of waste: Wood</v>
      </c>
      <c r="ES2" t="str">
        <v>Incineration of waste: Oil/Hazardous waste</v>
      </c>
      <c r="ET2" t="str">
        <v>Biogasification of food waste, incl. land application</v>
      </c>
      <c r="EU2" t="str">
        <v>Biogasification of paper, incl. land application</v>
      </c>
      <c r="EV2" t="str">
        <v>Biogasification of sewage slugde, incl. land application</v>
      </c>
      <c r="EW2" t="str">
        <v>Composting of food waste, incl. land application</v>
      </c>
      <c r="EX2" t="str">
        <v>Composting of paper and wood, incl. land application</v>
      </c>
      <c r="EY2" t="str">
        <v>Waste water treatment, food</v>
      </c>
      <c r="EZ2" t="str">
        <v>Waste water treatment, other</v>
      </c>
      <c r="FA2" t="str">
        <v>Landfill of waste: Food</v>
      </c>
      <c r="FB2" t="str">
        <v>Landfill of waste: Paper</v>
      </c>
      <c r="FC2" t="str">
        <v>Landfill of waste: Plastic</v>
      </c>
      <c r="FD2" t="str">
        <v>Landfill of waste: Inert/metal/hazardous</v>
      </c>
      <c r="FE2" t="str">
        <v>Landfill of waste: Textiles</v>
      </c>
      <c r="FF2" t="str">
        <v>Landfill of waste: Wood</v>
      </c>
      <c r="FG2" t="str">
        <v>Activities of membership organisation n.e.c. (91)</v>
      </c>
      <c r="FH2" t="str">
        <v>Recreational, cultural and sporting activities (92)</v>
      </c>
      <c r="FI2" t="str">
        <v>Other service activities (93)</v>
      </c>
      <c r="FJ2" t="str">
        <v>Private households with employed persons (95)</v>
      </c>
      <c r="FK2" t="str">
        <v>Extra-territorial organizations and bodies</v>
      </c>
      <c r="FL2" t="s">
        <v>1237</v>
      </c>
    </row>
    <row r="3" spans="1:168" x14ac:dyDescent="0.25">
      <c r="C3" t="s">
        <v>2</v>
      </c>
      <c r="E3" t="str">
        <v>i01.a</v>
      </c>
      <c r="F3" t="str">
        <v>i01.b</v>
      </c>
      <c r="G3" t="str">
        <v>i01.c</v>
      </c>
      <c r="H3" t="str">
        <v>i01.d</v>
      </c>
      <c r="I3" t="str">
        <v>i01.e</v>
      </c>
      <c r="J3" t="str">
        <v>i01.f</v>
      </c>
      <c r="K3" t="str">
        <v>i01.g</v>
      </c>
      <c r="L3" t="str">
        <v>i01.h</v>
      </c>
      <c r="M3" t="str">
        <v>i01.i</v>
      </c>
      <c r="N3" t="str">
        <v>i01.j</v>
      </c>
      <c r="O3" t="str">
        <v>i01.k</v>
      </c>
      <c r="P3" t="str">
        <v>i01.l</v>
      </c>
      <c r="Q3" t="str">
        <v>i01.m</v>
      </c>
      <c r="R3" t="str">
        <v>i01.n</v>
      </c>
      <c r="S3" t="str">
        <v>i01.o</v>
      </c>
      <c r="T3" t="str">
        <v>i01.w.1</v>
      </c>
      <c r="U3" t="str">
        <v>i01.w.2</v>
      </c>
      <c r="V3" t="str">
        <v>i02</v>
      </c>
      <c r="W3" t="str">
        <v>i05</v>
      </c>
      <c r="X3" t="str">
        <v>i10</v>
      </c>
      <c r="Y3" t="str">
        <v>i11.a</v>
      </c>
      <c r="Z3" t="str">
        <v>i11.b</v>
      </c>
      <c r="AA3" t="str">
        <v>i11.c</v>
      </c>
      <c r="AB3" t="str">
        <v>i12</v>
      </c>
      <c r="AC3" t="str">
        <v>i13.1</v>
      </c>
      <c r="AD3" t="str">
        <v>i13.20.11</v>
      </c>
      <c r="AE3" t="str">
        <v>i13.20.12</v>
      </c>
      <c r="AF3" t="str">
        <v>i13.20.13</v>
      </c>
      <c r="AG3" t="str">
        <v>i13.20.14</v>
      </c>
      <c r="AH3" t="str">
        <v>i13.20.15</v>
      </c>
      <c r="AI3" t="str">
        <v>i13.20.16</v>
      </c>
      <c r="AJ3" t="str">
        <v>i14.1</v>
      </c>
      <c r="AK3" t="str">
        <v>i14.2</v>
      </c>
      <c r="AL3" t="str">
        <v>i14.3</v>
      </c>
      <c r="AM3" t="str">
        <v>i15.a</v>
      </c>
      <c r="AN3" t="str">
        <v>i15.b</v>
      </c>
      <c r="AO3" t="str">
        <v>i15.c</v>
      </c>
      <c r="AP3" t="str">
        <v>i15.d</v>
      </c>
      <c r="AQ3" t="str">
        <v>i15.e</v>
      </c>
      <c r="AR3" t="str">
        <v>i15.f</v>
      </c>
      <c r="AS3" t="str">
        <v>i15.g</v>
      </c>
      <c r="AT3" t="str">
        <v>i15.h</v>
      </c>
      <c r="AU3" t="str">
        <v>i15.i</v>
      </c>
      <c r="AV3" t="str">
        <v>i15.j</v>
      </c>
      <c r="AW3" t="str">
        <v>i15.k</v>
      </c>
      <c r="AX3" t="str">
        <v>i16</v>
      </c>
      <c r="AY3" t="str">
        <v>i17</v>
      </c>
      <c r="AZ3" t="str">
        <v>i18</v>
      </c>
      <c r="BA3" t="str">
        <v>i19</v>
      </c>
      <c r="BB3" t="str">
        <v>i20</v>
      </c>
      <c r="BC3" t="str">
        <v>i20.w</v>
      </c>
      <c r="BD3" t="str">
        <v>i21.1</v>
      </c>
      <c r="BE3" t="str">
        <v>i21.w.1</v>
      </c>
      <c r="BF3" t="str">
        <v>i21.2</v>
      </c>
      <c r="BG3" t="str">
        <v>i22</v>
      </c>
      <c r="BH3" t="str">
        <v>i23.1</v>
      </c>
      <c r="BI3" t="str">
        <v>i23.2</v>
      </c>
      <c r="BJ3" t="str">
        <v>i23.3</v>
      </c>
      <c r="BK3" t="str">
        <v>i24.a</v>
      </c>
      <c r="BL3" t="str">
        <v>i24.a.w</v>
      </c>
      <c r="BM3" t="str">
        <v>i24.b</v>
      </c>
      <c r="BN3" t="str">
        <v>i24.c</v>
      </c>
      <c r="BO3" t="str">
        <v>i24.d</v>
      </c>
      <c r="BP3" t="str">
        <v>i25</v>
      </c>
      <c r="BQ3" t="str">
        <v>i26.a</v>
      </c>
      <c r="BR3" t="str">
        <v>i26.a.w</v>
      </c>
      <c r="BS3" t="str">
        <v>i26.b</v>
      </c>
      <c r="BT3" t="str">
        <v>i26.c</v>
      </c>
      <c r="BU3" t="str">
        <v>i26.d</v>
      </c>
      <c r="BV3" t="str">
        <v>i26.d.w</v>
      </c>
      <c r="BW3" t="str">
        <v>i26.e</v>
      </c>
      <c r="BX3" t="str">
        <v>i27.a</v>
      </c>
      <c r="BY3" t="str">
        <v>i27.a.w</v>
      </c>
      <c r="BZ3" t="str">
        <v>i27.41</v>
      </c>
      <c r="CA3" t="str">
        <v>i27.41.w</v>
      </c>
      <c r="CB3" t="str">
        <v>i27.42</v>
      </c>
      <c r="CC3" t="str">
        <v>i27.42.w</v>
      </c>
      <c r="CD3" t="str">
        <v>i27.43</v>
      </c>
      <c r="CE3" t="str">
        <v>i27.43.w</v>
      </c>
      <c r="CF3" t="str">
        <v>i27.44</v>
      </c>
      <c r="CG3" t="str">
        <v>i27.44.w</v>
      </c>
      <c r="CH3" t="str">
        <v>i27.45</v>
      </c>
      <c r="CI3" t="str">
        <v>i27.45.w</v>
      </c>
      <c r="CJ3" t="str">
        <v>i27.5</v>
      </c>
      <c r="CK3" t="str">
        <v>i28</v>
      </c>
      <c r="CL3" t="str">
        <v>i29</v>
      </c>
      <c r="CM3" t="str">
        <v>i30</v>
      </c>
      <c r="CN3" t="str">
        <v>i31</v>
      </c>
      <c r="CO3" t="str">
        <v>i32</v>
      </c>
      <c r="CP3" t="str">
        <v>i33</v>
      </c>
      <c r="CQ3" t="str">
        <v>i34</v>
      </c>
      <c r="CR3" t="str">
        <v>i35</v>
      </c>
      <c r="CS3" t="str">
        <v>i36</v>
      </c>
      <c r="CT3" t="str">
        <v>i37</v>
      </c>
      <c r="CU3" t="str">
        <v>i37.w.1</v>
      </c>
      <c r="CV3" t="str">
        <v>i40.11.a</v>
      </c>
      <c r="CW3" t="str">
        <v>i40.11.b</v>
      </c>
      <c r="CX3" t="str">
        <v>i40.11.c</v>
      </c>
      <c r="CY3" t="str">
        <v>i40.11.d</v>
      </c>
      <c r="CZ3" t="str">
        <v>i40.11.e</v>
      </c>
      <c r="DA3" t="str">
        <v>i40.11.f</v>
      </c>
      <c r="DB3" t="str">
        <v>i40.11.g</v>
      </c>
      <c r="DC3" t="str">
        <v>i40.11.h</v>
      </c>
      <c r="DD3" t="str">
        <v>i40.11.i</v>
      </c>
      <c r="DE3" t="str">
        <v>i40.11.j</v>
      </c>
      <c r="DF3" t="str">
        <v>i40.11.k</v>
      </c>
      <c r="DG3" t="str">
        <v>i40.11.l</v>
      </c>
      <c r="DH3" t="str">
        <v>i40.12</v>
      </c>
      <c r="DI3" t="str">
        <v>i40.13</v>
      </c>
      <c r="DJ3" t="str">
        <v>i40.2</v>
      </c>
      <c r="DK3" t="str">
        <v>i40.3</v>
      </c>
      <c r="DL3" t="str">
        <v>i41</v>
      </c>
      <c r="DM3" t="str">
        <v>i45</v>
      </c>
      <c r="DN3" t="str">
        <v>i45.w</v>
      </c>
      <c r="DO3" t="str">
        <v>i50.a</v>
      </c>
      <c r="DP3" t="str">
        <v>i50.b</v>
      </c>
      <c r="DQ3" t="str">
        <v>i51</v>
      </c>
      <c r="DR3" t="str">
        <v>i52</v>
      </c>
      <c r="DS3" t="str">
        <v>i55</v>
      </c>
      <c r="DT3" t="str">
        <v>i60.1</v>
      </c>
      <c r="DU3" t="str">
        <v>i60.2</v>
      </c>
      <c r="DV3" t="str">
        <v>i60.3</v>
      </c>
      <c r="DW3" t="str">
        <v>i61.1</v>
      </c>
      <c r="DX3" t="str">
        <v>i61.2</v>
      </c>
      <c r="DY3" t="str">
        <v>i62</v>
      </c>
      <c r="DZ3" t="str">
        <v>i63</v>
      </c>
      <c r="EA3" t="str">
        <v>i64</v>
      </c>
      <c r="EB3" t="str">
        <v>i65</v>
      </c>
      <c r="EC3" t="str">
        <v>i66</v>
      </c>
      <c r="ED3" t="str">
        <v>i67</v>
      </c>
      <c r="EE3" t="str">
        <v>i70</v>
      </c>
      <c r="EF3" t="str">
        <v>i71</v>
      </c>
      <c r="EG3" t="str">
        <v>i72</v>
      </c>
      <c r="EH3" t="str">
        <v>i73</v>
      </c>
      <c r="EI3" t="str">
        <v>i74</v>
      </c>
      <c r="EJ3" t="str">
        <v>i75</v>
      </c>
      <c r="EK3" t="str">
        <v>i80</v>
      </c>
      <c r="EL3" t="str">
        <v>i85</v>
      </c>
      <c r="EM3" t="str">
        <v>i90.1.a</v>
      </c>
      <c r="EN3" t="str">
        <v>i90.1.b</v>
      </c>
      <c r="EO3" t="str">
        <v>i90.1.c</v>
      </c>
      <c r="EP3" t="str">
        <v>i90.1.d</v>
      </c>
      <c r="EQ3" t="str">
        <v>i90.1.e</v>
      </c>
      <c r="ER3" t="str">
        <v>i90.1.f</v>
      </c>
      <c r="ES3" t="str">
        <v>i90.1.g</v>
      </c>
      <c r="ET3" t="str">
        <v>i90.2.a</v>
      </c>
      <c r="EU3" t="str">
        <v>i90.2.b</v>
      </c>
      <c r="EV3" t="str">
        <v>i90.2.c</v>
      </c>
      <c r="EW3" t="str">
        <v>i90.3.a</v>
      </c>
      <c r="EX3" t="str">
        <v>i90.3.b</v>
      </c>
      <c r="EY3" t="str">
        <v>i90.4.a</v>
      </c>
      <c r="EZ3" t="str">
        <v>i90.4.b</v>
      </c>
      <c r="FA3" t="str">
        <v>i90.5.a</v>
      </c>
      <c r="FB3" t="str">
        <v>i90.5.b</v>
      </c>
      <c r="FC3" t="str">
        <v>i90.5.c</v>
      </c>
      <c r="FD3" t="str">
        <v>i90.5.d</v>
      </c>
      <c r="FE3" t="str">
        <v>i90.5.e</v>
      </c>
      <c r="FF3" t="str">
        <v>i90.5.f</v>
      </c>
      <c r="FG3" t="str">
        <v>i91</v>
      </c>
      <c r="FH3" t="str">
        <v>i92</v>
      </c>
      <c r="FI3" t="str">
        <v>i93</v>
      </c>
      <c r="FJ3" t="str">
        <v>i95</v>
      </c>
      <c r="FK3" t="str">
        <v>i99</v>
      </c>
      <c r="FL3" t="s">
        <v>1238</v>
      </c>
    </row>
    <row r="4" spans="1:168" x14ac:dyDescent="0.25">
      <c r="D4" t="s">
        <v>3</v>
      </c>
      <c r="E4" t="str">
        <v>A_PARI</v>
      </c>
      <c r="F4" t="str">
        <v>A_WHEA</v>
      </c>
      <c r="G4" t="str">
        <v>A_OCER</v>
      </c>
      <c r="H4" t="str">
        <v>A_FVEG</v>
      </c>
      <c r="I4" t="str">
        <v>A_OILS</v>
      </c>
      <c r="J4" t="str">
        <v>A_SUGB</v>
      </c>
      <c r="K4" t="str">
        <v>A_FIBR</v>
      </c>
      <c r="L4" t="str">
        <v>A_OTCR</v>
      </c>
      <c r="M4" t="str">
        <v>A_CATL</v>
      </c>
      <c r="N4" t="str">
        <v>A_PIGS</v>
      </c>
      <c r="O4" t="str">
        <v>A_PLTR</v>
      </c>
      <c r="P4" t="str">
        <v>A_OMEA</v>
      </c>
      <c r="Q4" t="str">
        <v>A_OANP</v>
      </c>
      <c r="R4" t="str">
        <v>A_MILK</v>
      </c>
      <c r="S4" t="str">
        <v>A_WOOL</v>
      </c>
      <c r="T4" t="str">
        <v>A_MANC</v>
      </c>
      <c r="U4" t="str">
        <v>A_MANB</v>
      </c>
      <c r="V4" t="str">
        <v>A_FORE</v>
      </c>
      <c r="W4" t="str">
        <v>A_FISH</v>
      </c>
      <c r="X4" t="str">
        <v>A_COAL</v>
      </c>
      <c r="Y4" t="str">
        <v>A_COIL</v>
      </c>
      <c r="Z4" t="str">
        <v>A_GASE</v>
      </c>
      <c r="AA4" t="str">
        <v>A_OGPL</v>
      </c>
      <c r="AB4" t="str">
        <v>A_ORAN</v>
      </c>
      <c r="AC4" t="str">
        <v>A_IRON</v>
      </c>
      <c r="AD4" t="str">
        <v>A_COPO</v>
      </c>
      <c r="AE4" t="str">
        <v>A_NIKO</v>
      </c>
      <c r="AF4" t="str">
        <v>A_ALUO</v>
      </c>
      <c r="AG4" t="str">
        <v>A_PREO</v>
      </c>
      <c r="AH4" t="str">
        <v>A_LZTO</v>
      </c>
      <c r="AI4" t="str">
        <v>A_ONFO</v>
      </c>
      <c r="AJ4" t="str">
        <v>A_STON</v>
      </c>
      <c r="AK4" t="str">
        <v>A_SDCL</v>
      </c>
      <c r="AL4" t="str">
        <v>A_CHMF</v>
      </c>
      <c r="AM4" t="str">
        <v>A_PCAT</v>
      </c>
      <c r="AN4" t="str">
        <v>A_PPIG</v>
      </c>
      <c r="AO4" t="str">
        <v>A_PPLT</v>
      </c>
      <c r="AP4" t="str">
        <v>A_POME</v>
      </c>
      <c r="AQ4" t="str">
        <v>A_VOIL</v>
      </c>
      <c r="AR4" t="str">
        <v>A_DAIR</v>
      </c>
      <c r="AS4" t="str">
        <v>A_RICE</v>
      </c>
      <c r="AT4" t="str">
        <v>A_SUGR</v>
      </c>
      <c r="AU4" t="str">
        <v>A_OFOD</v>
      </c>
      <c r="AV4" t="str">
        <v>A_BEVR</v>
      </c>
      <c r="AW4" t="str">
        <v>A_FSHP</v>
      </c>
      <c r="AX4" t="str">
        <v>A_TOBC</v>
      </c>
      <c r="AY4" t="str">
        <v>A_TEXT</v>
      </c>
      <c r="AZ4" t="str">
        <v>A_GARM</v>
      </c>
      <c r="BA4" t="str">
        <v>A_LETH</v>
      </c>
      <c r="BB4" t="str">
        <v>A_WOOD</v>
      </c>
      <c r="BC4" t="str">
        <v>A_WOOW</v>
      </c>
      <c r="BD4" t="str">
        <v>A_PULP</v>
      </c>
      <c r="BE4" t="str">
        <v>A_PAPR</v>
      </c>
      <c r="BF4" t="str">
        <v>A_PAPE</v>
      </c>
      <c r="BG4" t="str">
        <v>A_MDIA</v>
      </c>
      <c r="BH4" t="str">
        <v>A_COKE</v>
      </c>
      <c r="BI4" t="str">
        <v>A_REFN</v>
      </c>
      <c r="BJ4" t="str">
        <v>A_NUCF</v>
      </c>
      <c r="BK4" t="str">
        <v>A_PLAS</v>
      </c>
      <c r="BL4" t="str">
        <v>A_PLAW</v>
      </c>
      <c r="BM4" t="str">
        <v>A_NFER</v>
      </c>
      <c r="BN4" t="str">
        <v>A_PFER</v>
      </c>
      <c r="BO4" t="str">
        <v>A_CHEM</v>
      </c>
      <c r="BP4" t="str">
        <v>A_RUBP</v>
      </c>
      <c r="BQ4" t="str">
        <v>A_GLAS</v>
      </c>
      <c r="BR4" t="str">
        <v>A_GLAW</v>
      </c>
      <c r="BS4" t="str">
        <v>A_CRMC</v>
      </c>
      <c r="BT4" t="str">
        <v>A_BRIK</v>
      </c>
      <c r="BU4" t="str">
        <v>A_CMNT</v>
      </c>
      <c r="BV4" t="str">
        <v>A_ASHW</v>
      </c>
      <c r="BW4" t="str">
        <v>A_ONMM</v>
      </c>
      <c r="BX4" t="str">
        <v>A_STEL</v>
      </c>
      <c r="BY4" t="str">
        <v>A_STEW</v>
      </c>
      <c r="BZ4" t="str">
        <v>A_PREM</v>
      </c>
      <c r="CA4" t="str">
        <v>A_PREW</v>
      </c>
      <c r="CB4" t="str">
        <v>A_ALUM</v>
      </c>
      <c r="CC4" t="str">
        <v>A_ALUW</v>
      </c>
      <c r="CD4" t="str">
        <v>A_LZTP</v>
      </c>
      <c r="CE4" t="str">
        <v>A_LZTW</v>
      </c>
      <c r="CF4" t="str">
        <v>A_COPP</v>
      </c>
      <c r="CG4" t="str">
        <v>A_COPW</v>
      </c>
      <c r="CH4" t="str">
        <v>A_ONFM</v>
      </c>
      <c r="CI4" t="str">
        <v>A_ONFW</v>
      </c>
      <c r="CJ4" t="str">
        <v>A_METC</v>
      </c>
      <c r="CK4" t="str">
        <v>A_FABM</v>
      </c>
      <c r="CL4" t="str">
        <v>A_MACH</v>
      </c>
      <c r="CM4" t="str">
        <v>A_OFMA</v>
      </c>
      <c r="CN4" t="str">
        <v>A_ELMA</v>
      </c>
      <c r="CO4" t="str">
        <v>A_RATV</v>
      </c>
      <c r="CP4" t="str">
        <v>A_MEIN</v>
      </c>
      <c r="CQ4" t="str">
        <v>A_MOTO</v>
      </c>
      <c r="CR4" t="str">
        <v>A_OTRE</v>
      </c>
      <c r="CS4" t="str">
        <v>A_FURN</v>
      </c>
      <c r="CT4" t="str">
        <v>A_RYMS</v>
      </c>
      <c r="CU4" t="str">
        <v>A_BOTW</v>
      </c>
      <c r="CV4" t="str">
        <v>A_POWC</v>
      </c>
      <c r="CW4" t="str">
        <v>A_POWG</v>
      </c>
      <c r="CX4" t="str">
        <v>A_POWN</v>
      </c>
      <c r="CY4" t="str">
        <v>A_POWH</v>
      </c>
      <c r="CZ4" t="str">
        <v>A_POWW</v>
      </c>
      <c r="DA4" t="str">
        <v>A_POWP</v>
      </c>
      <c r="DB4" t="str">
        <v>A_POWB</v>
      </c>
      <c r="DC4" t="str">
        <v>A_POWS</v>
      </c>
      <c r="DD4" t="str">
        <v>A_POWE</v>
      </c>
      <c r="DE4" t="str">
        <v>A_POWO</v>
      </c>
      <c r="DF4" t="str">
        <v>A_POWM</v>
      </c>
      <c r="DG4" t="str">
        <v>A_POWZ</v>
      </c>
      <c r="DH4" t="str">
        <v>A_POWT</v>
      </c>
      <c r="DI4" t="str">
        <v>A_POWD</v>
      </c>
      <c r="DJ4" t="str">
        <v>A_GASD</v>
      </c>
      <c r="DK4" t="str">
        <v>A_HWAT</v>
      </c>
      <c r="DL4" t="str">
        <v>A_WATR</v>
      </c>
      <c r="DM4" t="str">
        <v>A_CONS</v>
      </c>
      <c r="DN4" t="str">
        <v>A_CONW</v>
      </c>
      <c r="DO4" t="str">
        <v>A_TDMO</v>
      </c>
      <c r="DP4" t="str">
        <v>A_TDFU</v>
      </c>
      <c r="DQ4" t="str">
        <v>A_TDWH</v>
      </c>
      <c r="DR4" t="str">
        <v>A_TDRT</v>
      </c>
      <c r="DS4" t="str">
        <v>A_HORE</v>
      </c>
      <c r="DT4" t="str">
        <v>A_TRAI</v>
      </c>
      <c r="DU4" t="str">
        <v>A_TLND</v>
      </c>
      <c r="DV4" t="str">
        <v>A_TPIP</v>
      </c>
      <c r="DW4" t="str">
        <v>A_TWAS</v>
      </c>
      <c r="DX4" t="str">
        <v>A_TWAI</v>
      </c>
      <c r="DY4" t="str">
        <v>A_TAIR</v>
      </c>
      <c r="DZ4" t="str">
        <v>A_TAUX</v>
      </c>
      <c r="EA4" t="str">
        <v>A_PTEL</v>
      </c>
      <c r="EB4" t="str">
        <v>A_FINT</v>
      </c>
      <c r="EC4" t="str">
        <v>A_FINS</v>
      </c>
      <c r="ED4" t="str">
        <v>A_FAUX</v>
      </c>
      <c r="EE4" t="str">
        <v>A_REAL</v>
      </c>
      <c r="EF4" t="str">
        <v>A_MARE</v>
      </c>
      <c r="EG4" t="str">
        <v>A_COMP</v>
      </c>
      <c r="EH4" t="str">
        <v>A_RESD</v>
      </c>
      <c r="EI4" t="str">
        <v>A_OBUS</v>
      </c>
      <c r="EJ4" t="str">
        <v>A_PADF</v>
      </c>
      <c r="EK4" t="str">
        <v>A_EDUC</v>
      </c>
      <c r="EL4" t="str">
        <v>A_HEAL</v>
      </c>
      <c r="EM4" t="str">
        <v>A_INCF</v>
      </c>
      <c r="EN4" t="str">
        <v>A_INCP</v>
      </c>
      <c r="EO4" t="str">
        <v>A_INCL</v>
      </c>
      <c r="EP4" t="str">
        <v>A_INCM</v>
      </c>
      <c r="EQ4" t="str">
        <v>A_INCT</v>
      </c>
      <c r="ER4" t="str">
        <v>A_INCW</v>
      </c>
      <c r="ES4" t="str">
        <v>A_INCO</v>
      </c>
      <c r="ET4" t="str">
        <v>A_BIOF</v>
      </c>
      <c r="EU4" t="str">
        <v>A_BIOP</v>
      </c>
      <c r="EV4" t="str">
        <v>A_BIOS</v>
      </c>
      <c r="EW4" t="str">
        <v>A_COMF</v>
      </c>
      <c r="EX4" t="str">
        <v>A_COMW</v>
      </c>
      <c r="EY4" t="str">
        <v>A_WASF</v>
      </c>
      <c r="EZ4" t="str">
        <v>A_WASO</v>
      </c>
      <c r="FA4" t="str">
        <v>A_LANF</v>
      </c>
      <c r="FB4" t="str">
        <v>A_LANP</v>
      </c>
      <c r="FC4" t="str">
        <v>A_LANL</v>
      </c>
      <c r="FD4" t="str">
        <v>A_LANI</v>
      </c>
      <c r="FE4" t="str">
        <v>A_LANT</v>
      </c>
      <c r="FF4" t="str">
        <v>A_LANW</v>
      </c>
      <c r="FG4" t="str">
        <v>A_ORGA</v>
      </c>
      <c r="FH4" t="str">
        <v>A_RECR</v>
      </c>
      <c r="FI4" t="str">
        <v>A_OSER</v>
      </c>
      <c r="FJ4" t="str">
        <v>A_PRHH</v>
      </c>
      <c r="FK4" t="str">
        <v>A_EXTO</v>
      </c>
      <c r="FL4" t="s">
        <v>1239</v>
      </c>
    </row>
    <row r="5" spans="1:168" x14ac:dyDescent="0.25">
      <c r="A5">
        <f>products!A2</f>
        <v>1</v>
      </c>
      <c r="B5" t="str">
        <f>products!B2</f>
        <v>Paddy rice</v>
      </c>
      <c r="C5" t="str">
        <f>products!C2</f>
        <v>p01.a</v>
      </c>
      <c r="D5" t="str">
        <f>products!D2</f>
        <v>C_PARI</v>
      </c>
    </row>
    <row r="6" spans="1:168" x14ac:dyDescent="0.25">
      <c r="A6">
        <f>products!A3</f>
        <v>2</v>
      </c>
      <c r="B6" t="str">
        <f>products!B3</f>
        <v>Wheat</v>
      </c>
      <c r="C6" t="str">
        <f>products!C3</f>
        <v>p01.b</v>
      </c>
      <c r="D6" t="str">
        <f>products!D3</f>
        <v>C_WHEA</v>
      </c>
    </row>
    <row r="7" spans="1:168" x14ac:dyDescent="0.25">
      <c r="A7">
        <f>products!A4</f>
        <v>3</v>
      </c>
      <c r="B7" t="str">
        <f>products!B4</f>
        <v>Cereal grains nec</v>
      </c>
      <c r="C7" t="str">
        <f>products!C4</f>
        <v>p01.c</v>
      </c>
      <c r="D7" t="str">
        <f>products!D4</f>
        <v>C_OCER</v>
      </c>
    </row>
    <row r="8" spans="1:168" x14ac:dyDescent="0.25">
      <c r="A8">
        <f>products!A5</f>
        <v>4</v>
      </c>
      <c r="B8" t="str">
        <f>products!B5</f>
        <v>Vegetables, fruit, nuts</v>
      </c>
      <c r="C8" t="str">
        <f>products!C5</f>
        <v>p01.d</v>
      </c>
      <c r="D8" t="str">
        <f>products!D5</f>
        <v>C_FVEG</v>
      </c>
    </row>
    <row r="9" spans="1:168" x14ac:dyDescent="0.25">
      <c r="A9">
        <f>products!A6</f>
        <v>5</v>
      </c>
      <c r="B9" t="str">
        <f>products!B6</f>
        <v>Oil seeds</v>
      </c>
      <c r="C9" t="str">
        <f>products!C6</f>
        <v>p01.e</v>
      </c>
      <c r="D9" t="str">
        <f>products!D6</f>
        <v>C_OILS</v>
      </c>
    </row>
    <row r="10" spans="1:168" x14ac:dyDescent="0.25">
      <c r="A10">
        <f>products!A7</f>
        <v>6</v>
      </c>
      <c r="B10" t="str">
        <f>products!B7</f>
        <v>Sugar cane, sugar beet</v>
      </c>
      <c r="C10" t="str">
        <f>products!C7</f>
        <v>p01.f</v>
      </c>
      <c r="D10" t="str">
        <f>products!D7</f>
        <v>C_SUGB</v>
      </c>
    </row>
    <row r="11" spans="1:168" x14ac:dyDescent="0.25">
      <c r="A11">
        <f>products!A8</f>
        <v>7</v>
      </c>
      <c r="B11" t="str">
        <f>products!B8</f>
        <v>Plant-based fibers</v>
      </c>
      <c r="C11" t="str">
        <f>products!C8</f>
        <v>p01.g</v>
      </c>
      <c r="D11" t="str">
        <f>products!D8</f>
        <v>C_FIBR</v>
      </c>
    </row>
    <row r="12" spans="1:168" x14ac:dyDescent="0.25">
      <c r="A12">
        <f>products!A9</f>
        <v>8</v>
      </c>
      <c r="B12" t="str">
        <f>products!B9</f>
        <v>Crops nec</v>
      </c>
      <c r="C12" t="str">
        <f>products!C9</f>
        <v>p01.h</v>
      </c>
      <c r="D12" t="str">
        <f>products!D9</f>
        <v>C_OTCR</v>
      </c>
    </row>
    <row r="13" spans="1:168" x14ac:dyDescent="0.25">
      <c r="A13">
        <f>products!A10</f>
        <v>9</v>
      </c>
      <c r="B13" t="str">
        <f>products!B10</f>
        <v>Cattle</v>
      </c>
      <c r="C13" t="str">
        <f>products!C10</f>
        <v>p01.i</v>
      </c>
      <c r="D13" t="str">
        <f>products!D10</f>
        <v>C_CATL</v>
      </c>
    </row>
    <row r="14" spans="1:168" x14ac:dyDescent="0.25">
      <c r="A14">
        <f>products!A11</f>
        <v>10</v>
      </c>
      <c r="B14" t="str">
        <f>products!B11</f>
        <v>Pigs</v>
      </c>
      <c r="C14" t="str">
        <f>products!C11</f>
        <v>p01.j</v>
      </c>
      <c r="D14" t="str">
        <f>products!D11</f>
        <v>C_PIGS</v>
      </c>
    </row>
    <row r="15" spans="1:168" x14ac:dyDescent="0.25">
      <c r="A15">
        <f>products!A12</f>
        <v>11</v>
      </c>
      <c r="B15" t="str">
        <f>products!B12</f>
        <v>Poultry</v>
      </c>
      <c r="C15" t="str">
        <f>products!C12</f>
        <v>p01.k</v>
      </c>
      <c r="D15" t="str">
        <f>products!D12</f>
        <v>C_PLTR</v>
      </c>
    </row>
    <row r="16" spans="1:168" x14ac:dyDescent="0.25">
      <c r="A16">
        <f>products!A13</f>
        <v>12</v>
      </c>
      <c r="B16" t="str">
        <f>products!B13</f>
        <v>Meat animals nec</v>
      </c>
      <c r="C16" t="str">
        <f>products!C13</f>
        <v>p01.l</v>
      </c>
      <c r="D16" t="str">
        <f>products!D13</f>
        <v>C_OMEA</v>
      </c>
    </row>
    <row r="17" spans="1:4" x14ac:dyDescent="0.25">
      <c r="A17">
        <f>products!A14</f>
        <v>13</v>
      </c>
      <c r="B17" t="str">
        <f>products!B14</f>
        <v>Animal products nec</v>
      </c>
      <c r="C17" t="str">
        <f>products!C14</f>
        <v>p01.m</v>
      </c>
      <c r="D17" t="str">
        <f>products!D14</f>
        <v>C_OANP</v>
      </c>
    </row>
    <row r="18" spans="1:4" x14ac:dyDescent="0.25">
      <c r="A18">
        <f>products!A15</f>
        <v>14</v>
      </c>
      <c r="B18" t="str">
        <f>products!B15</f>
        <v>Raw milk</v>
      </c>
      <c r="C18" t="str">
        <f>products!C15</f>
        <v>p01.n</v>
      </c>
      <c r="D18" t="str">
        <f>products!D15</f>
        <v>C_MILK</v>
      </c>
    </row>
    <row r="19" spans="1:4" x14ac:dyDescent="0.25">
      <c r="A19">
        <f>products!A16</f>
        <v>15</v>
      </c>
      <c r="B19" t="str">
        <f>products!B16</f>
        <v>Wool, silk-worm cocoons</v>
      </c>
      <c r="C19" t="str">
        <f>products!C16</f>
        <v>p01.o</v>
      </c>
      <c r="D19" t="str">
        <f>products!D16</f>
        <v>C_WOOL</v>
      </c>
    </row>
    <row r="20" spans="1:4" x14ac:dyDescent="0.25">
      <c r="A20">
        <f>products!A17</f>
        <v>16</v>
      </c>
      <c r="B20" t="str">
        <f>products!B17</f>
        <v>Manure (conventional treatment)</v>
      </c>
      <c r="C20" t="str">
        <f>products!C17</f>
        <v>p01.w.1</v>
      </c>
      <c r="D20" t="str">
        <f>products!D17</f>
        <v>C_MANC</v>
      </c>
    </row>
    <row r="21" spans="1:4" x14ac:dyDescent="0.25">
      <c r="A21">
        <f>products!A18</f>
        <v>17</v>
      </c>
      <c r="B21" t="str">
        <f>products!B18</f>
        <v>Manure (biogas treatment)</v>
      </c>
      <c r="C21" t="str">
        <f>products!C18</f>
        <v>p01.w.2</v>
      </c>
      <c r="D21" t="str">
        <f>products!D18</f>
        <v>C_MANB</v>
      </c>
    </row>
    <row r="22" spans="1:4" x14ac:dyDescent="0.25">
      <c r="A22">
        <f>products!A19</f>
        <v>18</v>
      </c>
      <c r="B22" t="str">
        <f>products!B19</f>
        <v>Products of forestry, logging and related services (02)</v>
      </c>
      <c r="C22" t="str">
        <f>products!C19</f>
        <v>p02</v>
      </c>
      <c r="D22" t="str">
        <f>products!D19</f>
        <v>C_FORE</v>
      </c>
    </row>
    <row r="23" spans="1:4" x14ac:dyDescent="0.25">
      <c r="A23">
        <f>products!A20</f>
        <v>19</v>
      </c>
      <c r="B23" t="str">
        <f>products!B20</f>
        <v>Fish and other fishing products; services incidental of fishing (05)</v>
      </c>
      <c r="C23" t="str">
        <f>products!C20</f>
        <v>p05</v>
      </c>
      <c r="D23" t="str">
        <f>products!D20</f>
        <v>C_FISH</v>
      </c>
    </row>
    <row r="24" spans="1:4" x14ac:dyDescent="0.25">
      <c r="A24">
        <f>products!A21</f>
        <v>20</v>
      </c>
      <c r="B24" t="str">
        <f>products!B21</f>
        <v>Anthracite</v>
      </c>
      <c r="C24" t="str">
        <f>products!C21</f>
        <v>p10.a</v>
      </c>
      <c r="D24" t="str">
        <f>products!D21</f>
        <v>C_ANTH</v>
      </c>
    </row>
    <row r="25" spans="1:4" x14ac:dyDescent="0.25">
      <c r="A25">
        <f>products!A22</f>
        <v>21</v>
      </c>
      <c r="B25" t="str">
        <f>products!B22</f>
        <v>Coking Coal</v>
      </c>
      <c r="C25" t="str">
        <f>products!C22</f>
        <v>p10.b</v>
      </c>
      <c r="D25" t="str">
        <f>products!D22</f>
        <v>C_COKC</v>
      </c>
    </row>
    <row r="26" spans="1:4" x14ac:dyDescent="0.25">
      <c r="A26">
        <f>products!A23</f>
        <v>22</v>
      </c>
      <c r="B26" t="str">
        <f>products!B23</f>
        <v>Other Bituminous Coal</v>
      </c>
      <c r="C26" t="str">
        <f>products!C23</f>
        <v>p10.c</v>
      </c>
      <c r="D26" t="str">
        <f>products!D23</f>
        <v>C_OTBC</v>
      </c>
    </row>
    <row r="27" spans="1:4" x14ac:dyDescent="0.25">
      <c r="A27">
        <f>products!A24</f>
        <v>23</v>
      </c>
      <c r="B27" t="str">
        <f>products!B24</f>
        <v>Sub-Bituminous Coal</v>
      </c>
      <c r="C27" t="str">
        <f>products!C24</f>
        <v>p10.d</v>
      </c>
      <c r="D27" t="str">
        <f>products!D24</f>
        <v>C_SUBC</v>
      </c>
    </row>
    <row r="28" spans="1:4" x14ac:dyDescent="0.25">
      <c r="A28">
        <f>products!A25</f>
        <v>24</v>
      </c>
      <c r="B28" t="str">
        <f>products!B25</f>
        <v>Patent Fuel</v>
      </c>
      <c r="C28" t="str">
        <f>products!C25</f>
        <v>p10.e</v>
      </c>
      <c r="D28" t="str">
        <f>products!D25</f>
        <v>C_PATF</v>
      </c>
    </row>
    <row r="29" spans="1:4" x14ac:dyDescent="0.25">
      <c r="A29">
        <f>products!A26</f>
        <v>25</v>
      </c>
      <c r="B29" t="str">
        <f>products!B26</f>
        <v>Lignite/Brown Coal</v>
      </c>
      <c r="C29" t="str">
        <f>products!C26</f>
        <v>p10.f</v>
      </c>
      <c r="D29" t="str">
        <f>products!D26</f>
        <v>C_LIBC</v>
      </c>
    </row>
    <row r="30" spans="1:4" x14ac:dyDescent="0.25">
      <c r="A30">
        <f>products!A27</f>
        <v>26</v>
      </c>
      <c r="B30" t="str">
        <f>products!B27</f>
        <v>BKB/Peat Briquettes</v>
      </c>
      <c r="C30" t="str">
        <f>products!C27</f>
        <v>p10.g</v>
      </c>
      <c r="D30" t="str">
        <f>products!D27</f>
        <v>C_BKBP</v>
      </c>
    </row>
    <row r="31" spans="1:4" x14ac:dyDescent="0.25">
      <c r="A31">
        <f>products!A28</f>
        <v>27</v>
      </c>
      <c r="B31" t="str">
        <f>products!B28</f>
        <v>Peat</v>
      </c>
      <c r="C31" t="str">
        <f>products!C28</f>
        <v>p10.h</v>
      </c>
      <c r="D31" t="str">
        <f>products!D28</f>
        <v>C_PEAT</v>
      </c>
    </row>
    <row r="32" spans="1:4" x14ac:dyDescent="0.25">
      <c r="A32">
        <f>products!A29</f>
        <v>28</v>
      </c>
      <c r="B32" t="str">
        <f>products!B29</f>
        <v>Crude petroleum and services related to crude oil extraction, excluding surveying</v>
      </c>
      <c r="C32" t="str">
        <f>products!C29</f>
        <v>p11.a</v>
      </c>
      <c r="D32" t="str">
        <f>products!D29</f>
        <v>C_COIL</v>
      </c>
    </row>
    <row r="33" spans="1:4" x14ac:dyDescent="0.25">
      <c r="A33">
        <f>products!A30</f>
        <v>29</v>
      </c>
      <c r="B33" t="str">
        <f>products!B30</f>
        <v>Natural gas and services related to natural gas extraction, excluding surveying</v>
      </c>
      <c r="C33" t="str">
        <f>products!C30</f>
        <v>p11.b</v>
      </c>
      <c r="D33" t="str">
        <f>products!D30</f>
        <v>C_GASE</v>
      </c>
    </row>
    <row r="34" spans="1:4" x14ac:dyDescent="0.25">
      <c r="A34">
        <f>products!A31</f>
        <v>30</v>
      </c>
      <c r="B34" t="str">
        <f>products!B31</f>
        <v>Natural Gas Liquids</v>
      </c>
      <c r="C34" t="str">
        <f>products!C31</f>
        <v>p11.b.1</v>
      </c>
      <c r="D34" t="str">
        <f>products!D31</f>
        <v>C_GASL</v>
      </c>
    </row>
    <row r="35" spans="1:4" x14ac:dyDescent="0.25">
      <c r="A35">
        <f>products!A32</f>
        <v>31</v>
      </c>
      <c r="B35" t="str">
        <f>products!B32</f>
        <v>Other Hydrocarbons</v>
      </c>
      <c r="C35" t="str">
        <f>products!C32</f>
        <v>p11.c</v>
      </c>
      <c r="D35" t="str">
        <f>products!D32</f>
        <v>C_OGPL</v>
      </c>
    </row>
    <row r="36" spans="1:4" x14ac:dyDescent="0.25">
      <c r="A36">
        <f>products!A33</f>
        <v>32</v>
      </c>
      <c r="B36" t="str">
        <f>products!B33</f>
        <v>Uranium and thorium ores (12)</v>
      </c>
      <c r="C36" t="str">
        <f>products!C33</f>
        <v>p12</v>
      </c>
      <c r="D36" t="str">
        <f>products!D33</f>
        <v>C_ORAN</v>
      </c>
    </row>
    <row r="37" spans="1:4" x14ac:dyDescent="0.25">
      <c r="A37">
        <f>products!A34</f>
        <v>33</v>
      </c>
      <c r="B37" t="str">
        <f>products!B34</f>
        <v>Iron ores</v>
      </c>
      <c r="C37" t="str">
        <f>products!C34</f>
        <v>p13.1</v>
      </c>
      <c r="D37" t="str">
        <f>products!D34</f>
        <v>C_IRON</v>
      </c>
    </row>
    <row r="38" spans="1:4" x14ac:dyDescent="0.25">
      <c r="A38">
        <f>products!A35</f>
        <v>34</v>
      </c>
      <c r="B38" t="str">
        <f>products!B35</f>
        <v>Copper ores and concentrates</v>
      </c>
      <c r="C38" t="str">
        <f>products!C35</f>
        <v>p13.20.11</v>
      </c>
      <c r="D38" t="str">
        <f>products!D35</f>
        <v>C_COPO</v>
      </c>
    </row>
    <row r="39" spans="1:4" x14ac:dyDescent="0.25">
      <c r="A39">
        <f>products!A36</f>
        <v>35</v>
      </c>
      <c r="B39" t="str">
        <f>products!B36</f>
        <v>Nickel ores and concentrates</v>
      </c>
      <c r="C39" t="str">
        <f>products!C36</f>
        <v>p13.20.12</v>
      </c>
      <c r="D39" t="str">
        <f>products!D36</f>
        <v>C_NIKO</v>
      </c>
    </row>
    <row r="40" spans="1:4" x14ac:dyDescent="0.25">
      <c r="A40">
        <f>products!A37</f>
        <v>36</v>
      </c>
      <c r="B40" t="str">
        <f>products!B37</f>
        <v>Aluminium ores and concentrates</v>
      </c>
      <c r="C40" t="str">
        <f>products!C37</f>
        <v>p13.20.13</v>
      </c>
      <c r="D40" t="str">
        <f>products!D37</f>
        <v>C_ALUO</v>
      </c>
    </row>
    <row r="41" spans="1:4" x14ac:dyDescent="0.25">
      <c r="A41">
        <f>products!A38</f>
        <v>37</v>
      </c>
      <c r="B41" t="str">
        <f>products!B38</f>
        <v>Precious metal ores and concentrates</v>
      </c>
      <c r="C41" t="str">
        <f>products!C38</f>
        <v>p13.20.14</v>
      </c>
      <c r="D41" t="str">
        <f>products!D38</f>
        <v>C_PREO</v>
      </c>
    </row>
    <row r="42" spans="1:4" x14ac:dyDescent="0.25">
      <c r="A42">
        <f>products!A39</f>
        <v>38</v>
      </c>
      <c r="B42" t="str">
        <f>products!B39</f>
        <v>Lead, zinc and tin ores and concentrates</v>
      </c>
      <c r="C42" t="str">
        <f>products!C39</f>
        <v>p13.20.15</v>
      </c>
      <c r="D42" t="str">
        <f>products!D39</f>
        <v>C_LZTO</v>
      </c>
    </row>
    <row r="43" spans="1:4" x14ac:dyDescent="0.25">
      <c r="A43">
        <f>products!A40</f>
        <v>39</v>
      </c>
      <c r="B43" t="str">
        <f>products!B40</f>
        <v>Other non-ferrous metal ores and concentrates</v>
      </c>
      <c r="C43" t="str">
        <f>products!C40</f>
        <v>p13.20.16</v>
      </c>
      <c r="D43" t="str">
        <f>products!D40</f>
        <v>C_ONFO</v>
      </c>
    </row>
    <row r="44" spans="1:4" x14ac:dyDescent="0.25">
      <c r="A44">
        <f>products!A41</f>
        <v>40</v>
      </c>
      <c r="B44" t="str">
        <f>products!B41</f>
        <v>Stone</v>
      </c>
      <c r="C44" t="str">
        <f>products!C41</f>
        <v>p14.1</v>
      </c>
      <c r="D44" t="str">
        <f>products!D41</f>
        <v>C_STON</v>
      </c>
    </row>
    <row r="45" spans="1:4" x14ac:dyDescent="0.25">
      <c r="A45">
        <f>products!A42</f>
        <v>41</v>
      </c>
      <c r="B45" t="str">
        <f>products!B42</f>
        <v>Sand and clay</v>
      </c>
      <c r="C45" t="str">
        <f>products!C42</f>
        <v>p14.2</v>
      </c>
      <c r="D45" t="str">
        <f>products!D42</f>
        <v>C_SDCL</v>
      </c>
    </row>
    <row r="46" spans="1:4" x14ac:dyDescent="0.25">
      <c r="A46">
        <f>products!A43</f>
        <v>42</v>
      </c>
      <c r="B46" t="str">
        <f>products!B43</f>
        <v>Chemical and fertilizer minerals, salt and other mining and quarrying products n.e.c.</v>
      </c>
      <c r="C46" t="str">
        <f>products!C43</f>
        <v>p14.3</v>
      </c>
      <c r="D46" t="str">
        <f>products!D43</f>
        <v>C_CHMF</v>
      </c>
    </row>
    <row r="47" spans="1:4" x14ac:dyDescent="0.25">
      <c r="A47">
        <f>products!A44</f>
        <v>43</v>
      </c>
      <c r="B47" t="str">
        <f>products!B44</f>
        <v>Products of meat cattle</v>
      </c>
      <c r="C47" t="str">
        <f>products!C44</f>
        <v>p15.a</v>
      </c>
      <c r="D47" t="str">
        <f>products!D44</f>
        <v>C_PCAT</v>
      </c>
    </row>
    <row r="48" spans="1:4" x14ac:dyDescent="0.25">
      <c r="A48">
        <f>products!A45</f>
        <v>44</v>
      </c>
      <c r="B48" t="str">
        <f>products!B45</f>
        <v>Products of meat pigs</v>
      </c>
      <c r="C48" t="str">
        <f>products!C45</f>
        <v>p15.b</v>
      </c>
      <c r="D48" t="str">
        <f>products!D45</f>
        <v>C_PPIG</v>
      </c>
    </row>
    <row r="49" spans="1:4" x14ac:dyDescent="0.25">
      <c r="A49">
        <f>products!A46</f>
        <v>45</v>
      </c>
      <c r="B49" t="str">
        <f>products!B46</f>
        <v>Products of meat poultry</v>
      </c>
      <c r="C49" t="str">
        <f>products!C46</f>
        <v>p15.c</v>
      </c>
      <c r="D49" t="str">
        <f>products!D46</f>
        <v>C_PPLT</v>
      </c>
    </row>
    <row r="50" spans="1:4" x14ac:dyDescent="0.25">
      <c r="A50">
        <f>products!A47</f>
        <v>46</v>
      </c>
      <c r="B50" t="str">
        <f>products!B47</f>
        <v>Meat products nec</v>
      </c>
      <c r="C50" t="str">
        <f>products!C47</f>
        <v>p15.d</v>
      </c>
      <c r="D50" t="str">
        <f>products!D47</f>
        <v>C_POME</v>
      </c>
    </row>
    <row r="51" spans="1:4" x14ac:dyDescent="0.25">
      <c r="A51">
        <f>products!A48</f>
        <v>47</v>
      </c>
      <c r="B51" t="str">
        <f>products!B48</f>
        <v>products of Vegetable oils and fats</v>
      </c>
      <c r="C51" t="str">
        <f>products!C48</f>
        <v>p15.e</v>
      </c>
      <c r="D51" t="str">
        <f>products!D48</f>
        <v>C_VOIL</v>
      </c>
    </row>
    <row r="52" spans="1:4" x14ac:dyDescent="0.25">
      <c r="A52">
        <f>products!A49</f>
        <v>48</v>
      </c>
      <c r="B52" t="str">
        <f>products!B49</f>
        <v>Dairy products</v>
      </c>
      <c r="C52" t="str">
        <f>products!C49</f>
        <v>p15.f</v>
      </c>
      <c r="D52" t="str">
        <f>products!D49</f>
        <v>C_DAIR</v>
      </c>
    </row>
    <row r="53" spans="1:4" x14ac:dyDescent="0.25">
      <c r="A53">
        <f>products!A50</f>
        <v>49</v>
      </c>
      <c r="B53" t="str">
        <f>products!B50</f>
        <v>Processed rice</v>
      </c>
      <c r="C53" t="str">
        <f>products!C50</f>
        <v>p15.g</v>
      </c>
      <c r="D53" t="str">
        <f>products!D50</f>
        <v>C_RICE</v>
      </c>
    </row>
    <row r="54" spans="1:4" x14ac:dyDescent="0.25">
      <c r="A54">
        <f>products!A51</f>
        <v>50</v>
      </c>
      <c r="B54" t="str">
        <f>products!B51</f>
        <v>Sugar</v>
      </c>
      <c r="C54" t="str">
        <f>products!C51</f>
        <v>p15.h</v>
      </c>
      <c r="D54" t="str">
        <f>products!D51</f>
        <v>C_SUGR</v>
      </c>
    </row>
    <row r="55" spans="1:4" x14ac:dyDescent="0.25">
      <c r="A55">
        <f>products!A52</f>
        <v>51</v>
      </c>
      <c r="B55" t="str">
        <f>products!B52</f>
        <v>Food products nec</v>
      </c>
      <c r="C55" t="str">
        <f>products!C52</f>
        <v>p15.i</v>
      </c>
      <c r="D55" t="str">
        <f>products!D52</f>
        <v>C_OFOD</v>
      </c>
    </row>
    <row r="56" spans="1:4" x14ac:dyDescent="0.25">
      <c r="A56">
        <f>products!A53</f>
        <v>52</v>
      </c>
      <c r="B56" t="str">
        <f>products!B53</f>
        <v>Beverages</v>
      </c>
      <c r="C56" t="str">
        <f>products!C53</f>
        <v>p15.j</v>
      </c>
      <c r="D56" t="str">
        <f>products!D53</f>
        <v>C_BEVR</v>
      </c>
    </row>
    <row r="57" spans="1:4" x14ac:dyDescent="0.25">
      <c r="A57">
        <f>products!A54</f>
        <v>53</v>
      </c>
      <c r="B57" t="str">
        <f>products!B54</f>
        <v>Fish products</v>
      </c>
      <c r="C57" t="str">
        <f>products!C54</f>
        <v>p15.k</v>
      </c>
      <c r="D57" t="str">
        <f>products!D54</f>
        <v>C_FSHP</v>
      </c>
    </row>
    <row r="58" spans="1:4" x14ac:dyDescent="0.25">
      <c r="A58">
        <f>products!A55</f>
        <v>54</v>
      </c>
      <c r="B58" t="str">
        <f>products!B55</f>
        <v>Tobacco products (16)</v>
      </c>
      <c r="C58" t="str">
        <f>products!C55</f>
        <v>p16</v>
      </c>
      <c r="D58" t="str">
        <f>products!D55</f>
        <v>C_TOBC</v>
      </c>
    </row>
    <row r="59" spans="1:4" x14ac:dyDescent="0.25">
      <c r="A59">
        <f>products!A56</f>
        <v>55</v>
      </c>
      <c r="B59" t="str">
        <f>products!B56</f>
        <v>Textiles (17)</v>
      </c>
      <c r="C59" t="str">
        <f>products!C56</f>
        <v>p17</v>
      </c>
      <c r="D59" t="str">
        <f>products!D56</f>
        <v>C_TEXT</v>
      </c>
    </row>
    <row r="60" spans="1:4" x14ac:dyDescent="0.25">
      <c r="A60">
        <f>products!A57</f>
        <v>56</v>
      </c>
      <c r="B60" t="str">
        <f>products!B57</f>
        <v>Wearing apparel; furs (18)</v>
      </c>
      <c r="C60" t="str">
        <f>products!C57</f>
        <v>p18</v>
      </c>
      <c r="D60" t="str">
        <f>products!D57</f>
        <v>C_GARM</v>
      </c>
    </row>
    <row r="61" spans="1:4" x14ac:dyDescent="0.25">
      <c r="A61">
        <f>products!A58</f>
        <v>57</v>
      </c>
      <c r="B61" t="str">
        <f>products!B58</f>
        <v>Leather and leather products (19)</v>
      </c>
      <c r="C61" t="str">
        <f>products!C58</f>
        <v>p19</v>
      </c>
      <c r="D61" t="str">
        <f>products!D58</f>
        <v>C_LETH</v>
      </c>
    </row>
    <row r="62" spans="1:4" x14ac:dyDescent="0.25">
      <c r="A62">
        <f>products!A59</f>
        <v>58</v>
      </c>
      <c r="B62" t="str">
        <f>products!B59</f>
        <v>Wood and products of wood and cork (except furniture); articles of straw and plaiting materials (20)</v>
      </c>
      <c r="C62" t="str">
        <f>products!C59</f>
        <v>p20</v>
      </c>
      <c r="D62" t="str">
        <f>products!D59</f>
        <v>C_WOOD</v>
      </c>
    </row>
    <row r="63" spans="1:4" x14ac:dyDescent="0.25">
      <c r="A63">
        <f>products!A60</f>
        <v>59</v>
      </c>
      <c r="B63" t="str">
        <f>products!B60</f>
        <v>Wood material for treatment, Re-processing of secondary wood material into new wood material</v>
      </c>
      <c r="C63" t="str">
        <f>products!C60</f>
        <v>p20.w</v>
      </c>
      <c r="D63" t="str">
        <f>products!D60</f>
        <v>C_WOOW</v>
      </c>
    </row>
    <row r="64" spans="1:4" x14ac:dyDescent="0.25">
      <c r="A64">
        <f>products!A61</f>
        <v>60</v>
      </c>
      <c r="B64" t="str">
        <f>products!B61</f>
        <v>Pulp</v>
      </c>
      <c r="C64" t="str">
        <f>products!C61</f>
        <v>p21.1</v>
      </c>
      <c r="D64" t="str">
        <f>products!D61</f>
        <v>C_PULP</v>
      </c>
    </row>
    <row r="65" spans="1:4" x14ac:dyDescent="0.25">
      <c r="A65">
        <f>products!A62</f>
        <v>61</v>
      </c>
      <c r="B65" t="str">
        <f>products!B62</f>
        <v>Secondary paper for treatment, Re-processing of secondary paper into new pulp</v>
      </c>
      <c r="C65" t="str">
        <f>products!C62</f>
        <v>p21.w.1</v>
      </c>
      <c r="D65" t="str">
        <f>products!D62</f>
        <v>C_PAPR</v>
      </c>
    </row>
    <row r="66" spans="1:4" x14ac:dyDescent="0.25">
      <c r="A66">
        <f>products!A63</f>
        <v>62</v>
      </c>
      <c r="B66" t="str">
        <f>products!B63</f>
        <v>Paper and paper products</v>
      </c>
      <c r="C66" t="str">
        <f>products!C63</f>
        <v>p21.2</v>
      </c>
      <c r="D66" t="str">
        <f>products!D63</f>
        <v>C_PAPE</v>
      </c>
    </row>
    <row r="67" spans="1:4" x14ac:dyDescent="0.25">
      <c r="A67">
        <f>products!A64</f>
        <v>63</v>
      </c>
      <c r="B67" t="str">
        <f>products!B64</f>
        <v>Printed matter and recorded media (22)</v>
      </c>
      <c r="C67" t="str">
        <f>products!C64</f>
        <v>p22</v>
      </c>
      <c r="D67" t="str">
        <f>products!D64</f>
        <v>C_MDIA</v>
      </c>
    </row>
    <row r="68" spans="1:4" x14ac:dyDescent="0.25">
      <c r="A68">
        <f>products!A65</f>
        <v>64</v>
      </c>
      <c r="B68" t="str">
        <f>products!B65</f>
        <v>Coke Oven Coke</v>
      </c>
      <c r="C68" t="str">
        <f>products!C65</f>
        <v>p23.1.a</v>
      </c>
      <c r="D68" t="str">
        <f>products!D65</f>
        <v>C_COKE</v>
      </c>
    </row>
    <row r="69" spans="1:4" x14ac:dyDescent="0.25">
      <c r="A69">
        <f>products!A66</f>
        <v>65</v>
      </c>
      <c r="B69" t="str">
        <f>products!B66</f>
        <v>Gas Coke</v>
      </c>
      <c r="C69" t="str">
        <f>products!C66</f>
        <v>p23.1.b</v>
      </c>
      <c r="D69" t="str">
        <f>products!D66</f>
        <v>C_GCOK</v>
      </c>
    </row>
    <row r="70" spans="1:4" x14ac:dyDescent="0.25">
      <c r="A70">
        <f>products!A67</f>
        <v>66</v>
      </c>
      <c r="B70" t="str">
        <f>products!B67</f>
        <v>Coal Tar</v>
      </c>
      <c r="C70" t="str">
        <f>products!C67</f>
        <v>p23.1.c</v>
      </c>
      <c r="D70" t="str">
        <f>products!D67</f>
        <v>C_COTA</v>
      </c>
    </row>
    <row r="71" spans="1:4" x14ac:dyDescent="0.25">
      <c r="A71">
        <f>products!A68</f>
        <v>67</v>
      </c>
      <c r="B71" t="str">
        <f>products!B68</f>
        <v>Motor Gasoline</v>
      </c>
      <c r="C71" t="str">
        <f>products!C68</f>
        <v>p23.20.a</v>
      </c>
      <c r="D71" t="str">
        <f>products!D68</f>
        <v>C_MGSL</v>
      </c>
    </row>
    <row r="72" spans="1:4" x14ac:dyDescent="0.25">
      <c r="A72">
        <f>products!A69</f>
        <v>68</v>
      </c>
      <c r="B72" t="str">
        <f>products!B69</f>
        <v>Aviation Gasoline</v>
      </c>
      <c r="C72" t="str">
        <f>products!C69</f>
        <v>p23.20.b</v>
      </c>
      <c r="D72" t="str">
        <f>products!D69</f>
        <v>C_AGSL</v>
      </c>
    </row>
    <row r="73" spans="1:4" x14ac:dyDescent="0.25">
      <c r="A73">
        <f>products!A70</f>
        <v>69</v>
      </c>
      <c r="B73" t="str">
        <f>products!B70</f>
        <v>Gasoline Type Jet Fuel</v>
      </c>
      <c r="C73" t="str">
        <f>products!C70</f>
        <v>p23.20.c</v>
      </c>
      <c r="D73" t="str">
        <f>products!D70</f>
        <v>C_GJET</v>
      </c>
    </row>
    <row r="74" spans="1:4" x14ac:dyDescent="0.25">
      <c r="A74">
        <f>products!A71</f>
        <v>70</v>
      </c>
      <c r="B74" t="str">
        <f>products!B71</f>
        <v>Kerosene Type Jet Fuel</v>
      </c>
      <c r="C74" t="str">
        <f>products!C71</f>
        <v>p23.20.d</v>
      </c>
      <c r="D74" t="str">
        <f>products!D71</f>
        <v>C_KJET</v>
      </c>
    </row>
    <row r="75" spans="1:4" x14ac:dyDescent="0.25">
      <c r="A75">
        <f>products!A72</f>
        <v>71</v>
      </c>
      <c r="B75" t="str">
        <f>products!B72</f>
        <v>Kerosene</v>
      </c>
      <c r="C75" t="str">
        <f>products!C72</f>
        <v>p23.20.e</v>
      </c>
      <c r="D75" t="str">
        <f>products!D72</f>
        <v>C_KERO</v>
      </c>
    </row>
    <row r="76" spans="1:4" x14ac:dyDescent="0.25">
      <c r="A76">
        <f>products!A73</f>
        <v>72</v>
      </c>
      <c r="B76" t="str">
        <f>products!B73</f>
        <v>Gas/Diesel Oil</v>
      </c>
      <c r="C76" t="str">
        <f>products!C73</f>
        <v>p23.20.f</v>
      </c>
      <c r="D76" t="str">
        <f>products!D73</f>
        <v>C_DOIL</v>
      </c>
    </row>
    <row r="77" spans="1:4" x14ac:dyDescent="0.25">
      <c r="A77">
        <f>products!A74</f>
        <v>73</v>
      </c>
      <c r="B77" t="str">
        <f>products!B74</f>
        <v>Heavy Fuel Oil</v>
      </c>
      <c r="C77" t="str">
        <f>products!C74</f>
        <v>p23.20.g</v>
      </c>
      <c r="D77" t="str">
        <f>products!D74</f>
        <v>C_FOIL</v>
      </c>
    </row>
    <row r="78" spans="1:4" x14ac:dyDescent="0.25">
      <c r="A78">
        <f>products!A75</f>
        <v>74</v>
      </c>
      <c r="B78" t="str">
        <f>products!B75</f>
        <v>Refinery Gas</v>
      </c>
      <c r="C78" t="str">
        <f>products!C75</f>
        <v>p23.20.h</v>
      </c>
      <c r="D78" t="str">
        <f>products!D75</f>
        <v>C_RGAS</v>
      </c>
    </row>
    <row r="79" spans="1:4" x14ac:dyDescent="0.25">
      <c r="A79">
        <f>products!A76</f>
        <v>75</v>
      </c>
      <c r="B79" t="str">
        <f>products!B76</f>
        <v>Liquefied Petroleum Gases (LPG)</v>
      </c>
      <c r="C79" t="str">
        <f>products!C76</f>
        <v>p23.20.i</v>
      </c>
      <c r="D79" t="str">
        <f>products!D76</f>
        <v>C_LPGA</v>
      </c>
    </row>
    <row r="80" spans="1:4" x14ac:dyDescent="0.25">
      <c r="A80">
        <f>products!A77</f>
        <v>76</v>
      </c>
      <c r="B80" t="str">
        <f>products!B77</f>
        <v>Refinery Feedstocks</v>
      </c>
      <c r="C80" t="str">
        <f>products!C77</f>
        <v>p23.20.j</v>
      </c>
      <c r="D80" t="str">
        <f>products!D77</f>
        <v>C_REFF</v>
      </c>
    </row>
    <row r="81" spans="1:4" x14ac:dyDescent="0.25">
      <c r="A81">
        <f>products!A78</f>
        <v>77</v>
      </c>
      <c r="B81" t="str">
        <f>products!B78</f>
        <v>Ethane</v>
      </c>
      <c r="C81" t="str">
        <f>products!C78</f>
        <v>p23.20.k</v>
      </c>
      <c r="D81" t="str">
        <f>products!D78</f>
        <v>C_ETHA</v>
      </c>
    </row>
    <row r="82" spans="1:4" x14ac:dyDescent="0.25">
      <c r="A82">
        <f>products!A79</f>
        <v>78</v>
      </c>
      <c r="B82" t="str">
        <f>products!B79</f>
        <v>Naphtha</v>
      </c>
      <c r="C82" t="str">
        <f>products!C79</f>
        <v>p23.20.l</v>
      </c>
      <c r="D82" t="str">
        <f>products!D79</f>
        <v>C_NAPT</v>
      </c>
    </row>
    <row r="83" spans="1:4" x14ac:dyDescent="0.25">
      <c r="A83">
        <f>products!A80</f>
        <v>79</v>
      </c>
      <c r="B83" t="str">
        <f>products!B80</f>
        <v>White Spirit &amp; SBP</v>
      </c>
      <c r="C83" t="str">
        <f>products!C80</f>
        <v>p23.20.m</v>
      </c>
      <c r="D83" t="str">
        <f>products!D80</f>
        <v>C_WHSP</v>
      </c>
    </row>
    <row r="84" spans="1:4" x14ac:dyDescent="0.25">
      <c r="A84">
        <f>products!A81</f>
        <v>80</v>
      </c>
      <c r="B84" t="str">
        <f>products!B81</f>
        <v>Lubricants</v>
      </c>
      <c r="C84" t="str">
        <f>products!C81</f>
        <v>p23.20.n</v>
      </c>
      <c r="D84" t="str">
        <f>products!D81</f>
        <v>C_LUBR</v>
      </c>
    </row>
    <row r="85" spans="1:4" x14ac:dyDescent="0.25">
      <c r="A85">
        <f>products!A82</f>
        <v>81</v>
      </c>
      <c r="B85" t="str">
        <f>products!B82</f>
        <v>Bitumen</v>
      </c>
      <c r="C85" t="str">
        <f>products!C82</f>
        <v>p23.20.o</v>
      </c>
      <c r="D85" t="str">
        <f>products!D82</f>
        <v>C_BITU</v>
      </c>
    </row>
    <row r="86" spans="1:4" x14ac:dyDescent="0.25">
      <c r="A86">
        <f>products!A83</f>
        <v>82</v>
      </c>
      <c r="B86" t="str">
        <f>products!B83</f>
        <v>Paraffin Waxes</v>
      </c>
      <c r="C86" t="str">
        <f>products!C83</f>
        <v>p23.20.p</v>
      </c>
      <c r="D86" t="str">
        <f>products!D83</f>
        <v>C_PARW</v>
      </c>
    </row>
    <row r="87" spans="1:4" x14ac:dyDescent="0.25">
      <c r="A87">
        <f>products!A84</f>
        <v>83</v>
      </c>
      <c r="B87" t="str">
        <f>products!B84</f>
        <v>Petroleum Coke</v>
      </c>
      <c r="C87" t="str">
        <f>products!C84</f>
        <v>p23.20.q</v>
      </c>
      <c r="D87" t="str">
        <f>products!D84</f>
        <v>C_PETC</v>
      </c>
    </row>
    <row r="88" spans="1:4" x14ac:dyDescent="0.25">
      <c r="A88">
        <f>products!A85</f>
        <v>84</v>
      </c>
      <c r="B88" t="str">
        <f>products!B85</f>
        <v>Non-specified Petroleum Products</v>
      </c>
      <c r="C88" t="str">
        <f>products!C85</f>
        <v>p23.20.r</v>
      </c>
      <c r="D88" t="str">
        <f>products!D85</f>
        <v>C_NSPP</v>
      </c>
    </row>
    <row r="89" spans="1:4" x14ac:dyDescent="0.25">
      <c r="A89">
        <f>products!A86</f>
        <v>85</v>
      </c>
      <c r="B89" t="str">
        <f>products!B86</f>
        <v>Nuclear fuel</v>
      </c>
      <c r="C89" t="str">
        <f>products!C86</f>
        <v>p23.3</v>
      </c>
      <c r="D89" t="str">
        <f>products!D86</f>
        <v>C_NUCF</v>
      </c>
    </row>
    <row r="90" spans="1:4" x14ac:dyDescent="0.25">
      <c r="A90">
        <f>products!A87</f>
        <v>86</v>
      </c>
      <c r="B90" t="str">
        <f>products!B87</f>
        <v>Plastics, basic</v>
      </c>
      <c r="C90" t="str">
        <f>products!C87</f>
        <v>p24.a</v>
      </c>
      <c r="D90" t="str">
        <f>products!D87</f>
        <v>C_PLAS</v>
      </c>
    </row>
    <row r="91" spans="1:4" x14ac:dyDescent="0.25">
      <c r="A91">
        <f>products!A88</f>
        <v>87</v>
      </c>
      <c r="B91" t="str">
        <f>products!B88</f>
        <v>Secondary plastic for treatment, Re-processing of secondary plastic into new plastic</v>
      </c>
      <c r="C91" t="str">
        <f>products!C88</f>
        <v>p24.a.w</v>
      </c>
      <c r="D91" t="str">
        <f>products!D88</f>
        <v>C_PLAW</v>
      </c>
    </row>
    <row r="92" spans="1:4" x14ac:dyDescent="0.25">
      <c r="A92">
        <f>products!A89</f>
        <v>88</v>
      </c>
      <c r="B92" t="str">
        <f>products!B89</f>
        <v>N-fertiliser</v>
      </c>
      <c r="C92" t="str">
        <f>products!C89</f>
        <v>p24.b</v>
      </c>
      <c r="D92" t="str">
        <f>products!D89</f>
        <v>C_NFER</v>
      </c>
    </row>
    <row r="93" spans="1:4" x14ac:dyDescent="0.25">
      <c r="A93">
        <f>products!A90</f>
        <v>89</v>
      </c>
      <c r="B93" t="str">
        <f>products!B90</f>
        <v>P- and other fertiliser</v>
      </c>
      <c r="C93" t="str">
        <f>products!C90</f>
        <v>p24.c</v>
      </c>
      <c r="D93" t="str">
        <f>products!D90</f>
        <v>C_PFER</v>
      </c>
    </row>
    <row r="94" spans="1:4" x14ac:dyDescent="0.25">
      <c r="A94">
        <f>products!A91</f>
        <v>90</v>
      </c>
      <c r="B94" t="str">
        <f>products!B91</f>
        <v>Chemicals nec</v>
      </c>
      <c r="C94" t="str">
        <f>products!C91</f>
        <v>p24.d</v>
      </c>
      <c r="D94" t="str">
        <f>products!D91</f>
        <v>C_CHEM</v>
      </c>
    </row>
    <row r="95" spans="1:4" x14ac:dyDescent="0.25">
      <c r="A95">
        <f>products!A92</f>
        <v>91</v>
      </c>
      <c r="B95" t="str">
        <f>products!B92</f>
        <v>Charcoal</v>
      </c>
      <c r="C95" t="str">
        <f>products!C92</f>
        <v>p24.e</v>
      </c>
      <c r="D95" t="str">
        <f>products!D92</f>
        <v>C_CHAR</v>
      </c>
    </row>
    <row r="96" spans="1:4" x14ac:dyDescent="0.25">
      <c r="A96">
        <f>products!A93</f>
        <v>92</v>
      </c>
      <c r="B96" t="str">
        <f>products!B93</f>
        <v>Additives/Blending Components</v>
      </c>
      <c r="C96" t="str">
        <f>products!C93</f>
        <v>p24.f</v>
      </c>
      <c r="D96" t="str">
        <f>products!D93</f>
        <v>C_ADDC</v>
      </c>
    </row>
    <row r="97" spans="1:4" x14ac:dyDescent="0.25">
      <c r="A97">
        <f>products!A94</f>
        <v>93</v>
      </c>
      <c r="B97" t="str">
        <f>products!B94</f>
        <v>Biogasoline</v>
      </c>
      <c r="C97" t="str">
        <f>products!C94</f>
        <v>p24.g</v>
      </c>
      <c r="D97" t="str">
        <f>products!D94</f>
        <v>C_BIOG</v>
      </c>
    </row>
    <row r="98" spans="1:4" x14ac:dyDescent="0.25">
      <c r="A98">
        <f>products!A95</f>
        <v>94</v>
      </c>
      <c r="B98" t="str">
        <f>products!B95</f>
        <v>Biodiesels</v>
      </c>
      <c r="C98" t="str">
        <f>products!C95</f>
        <v>p24.h</v>
      </c>
      <c r="D98" t="str">
        <f>products!D95</f>
        <v>C_BIOD</v>
      </c>
    </row>
    <row r="99" spans="1:4" x14ac:dyDescent="0.25">
      <c r="A99">
        <f>products!A96</f>
        <v>95</v>
      </c>
      <c r="B99" t="str">
        <f>products!B96</f>
        <v>Other Liquid Biofuels</v>
      </c>
      <c r="C99" t="str">
        <f>products!C96</f>
        <v>p24.i</v>
      </c>
      <c r="D99" t="str">
        <f>products!D96</f>
        <v>C_OBIO</v>
      </c>
    </row>
    <row r="100" spans="1:4" x14ac:dyDescent="0.25">
      <c r="A100">
        <f>products!A97</f>
        <v>96</v>
      </c>
      <c r="B100" t="str">
        <f>products!B97</f>
        <v>Rubber and plastic products (25)</v>
      </c>
      <c r="C100" t="str">
        <f>products!C97</f>
        <v>p25</v>
      </c>
      <c r="D100" t="str">
        <f>products!D97</f>
        <v>C_RUBP</v>
      </c>
    </row>
    <row r="101" spans="1:4" x14ac:dyDescent="0.25">
      <c r="A101">
        <f>products!A98</f>
        <v>97</v>
      </c>
      <c r="B101" t="str">
        <f>products!B98</f>
        <v>Glass and glass products</v>
      </c>
      <c r="C101" t="str">
        <f>products!C98</f>
        <v>p26.a</v>
      </c>
      <c r="D101" t="str">
        <f>products!D98</f>
        <v>C_GLAS</v>
      </c>
    </row>
    <row r="102" spans="1:4" x14ac:dyDescent="0.25">
      <c r="A102">
        <f>products!A99</f>
        <v>98</v>
      </c>
      <c r="B102" t="str">
        <f>products!B99</f>
        <v>Secondary glass for treatment, Re-processing of secondary glass into new glass</v>
      </c>
      <c r="C102" t="str">
        <f>products!C99</f>
        <v>p26.a.w</v>
      </c>
      <c r="D102" t="str">
        <f>products!D99</f>
        <v>C_GLAW</v>
      </c>
    </row>
    <row r="103" spans="1:4" x14ac:dyDescent="0.25">
      <c r="A103">
        <f>products!A100</f>
        <v>99</v>
      </c>
      <c r="B103" t="str">
        <f>products!B100</f>
        <v>Ceramic goods</v>
      </c>
      <c r="C103" t="str">
        <f>products!C100</f>
        <v>p26.b</v>
      </c>
      <c r="D103" t="str">
        <f>products!D100</f>
        <v>C_CRMC</v>
      </c>
    </row>
    <row r="104" spans="1:4" x14ac:dyDescent="0.25">
      <c r="A104">
        <f>products!A101</f>
        <v>100</v>
      </c>
      <c r="B104" t="str">
        <f>products!B101</f>
        <v>Bricks, tiles and construction products, in baked clay</v>
      </c>
      <c r="C104" t="str">
        <f>products!C101</f>
        <v>p26.c</v>
      </c>
      <c r="D104" t="str">
        <f>products!D101</f>
        <v>C_BRIK</v>
      </c>
    </row>
    <row r="105" spans="1:4" x14ac:dyDescent="0.25">
      <c r="A105">
        <f>products!A102</f>
        <v>101</v>
      </c>
      <c r="B105" t="str">
        <f>products!B102</f>
        <v>Cement, lime and plaster</v>
      </c>
      <c r="C105" t="str">
        <f>products!C102</f>
        <v>p26.d</v>
      </c>
      <c r="D105" t="str">
        <f>products!D102</f>
        <v>C_CMNT</v>
      </c>
    </row>
    <row r="106" spans="1:4" x14ac:dyDescent="0.25">
      <c r="A106">
        <f>products!A103</f>
        <v>102</v>
      </c>
      <c r="B106" t="str">
        <f>products!B103</f>
        <v>Ash for treatment, Re-processing of ash into clinker</v>
      </c>
      <c r="C106" t="str">
        <f>products!C103</f>
        <v>p26.d.w</v>
      </c>
      <c r="D106" t="str">
        <f>products!D103</f>
        <v>C_ASHW</v>
      </c>
    </row>
    <row r="107" spans="1:4" x14ac:dyDescent="0.25">
      <c r="A107">
        <f>products!A104</f>
        <v>103</v>
      </c>
      <c r="B107" t="str">
        <f>products!B104</f>
        <v>Other non-metallic mineral products</v>
      </c>
      <c r="C107" t="str">
        <f>products!C104</f>
        <v>p26.e</v>
      </c>
      <c r="D107" t="str">
        <f>products!D104</f>
        <v>C_ONMM</v>
      </c>
    </row>
    <row r="108" spans="1:4" x14ac:dyDescent="0.25">
      <c r="A108">
        <f>products!A105</f>
        <v>104</v>
      </c>
      <c r="B108" t="str">
        <f>products!B105</f>
        <v>Basic iron and steel and of ferro-alloys and first products thereof</v>
      </c>
      <c r="C108" t="str">
        <f>products!C105</f>
        <v>p27.a</v>
      </c>
      <c r="D108" t="str">
        <f>products!D105</f>
        <v>C_STEL</v>
      </c>
    </row>
    <row r="109" spans="1:4" x14ac:dyDescent="0.25">
      <c r="A109">
        <f>products!A106</f>
        <v>105</v>
      </c>
      <c r="B109" t="str">
        <f>products!B106</f>
        <v>Secondary steel for treatment, Re-processing of secondary steel into new steel</v>
      </c>
      <c r="C109" t="str">
        <f>products!C106</f>
        <v>p27.a.w</v>
      </c>
      <c r="D109" t="str">
        <f>products!D106</f>
        <v>C_STEW</v>
      </c>
    </row>
    <row r="110" spans="1:4" x14ac:dyDescent="0.25">
      <c r="A110">
        <f>products!A107</f>
        <v>106</v>
      </c>
      <c r="B110" t="str">
        <f>products!B107</f>
        <v>Precious metals</v>
      </c>
      <c r="C110" t="str">
        <f>products!C107</f>
        <v>p27.41</v>
      </c>
      <c r="D110" t="str">
        <f>products!D107</f>
        <v>C_PREM</v>
      </c>
    </row>
    <row r="111" spans="1:4" x14ac:dyDescent="0.25">
      <c r="A111">
        <f>products!A108</f>
        <v>107</v>
      </c>
      <c r="B111" t="str">
        <f>products!B108</f>
        <v>Secondary preciuos metals for treatment, Re-processing of secondary preciuos metals into new preciuos metals</v>
      </c>
      <c r="C111" t="str">
        <f>products!C108</f>
        <v>p27.41.w</v>
      </c>
      <c r="D111" t="str">
        <f>products!D108</f>
        <v>C_PREW</v>
      </c>
    </row>
    <row r="112" spans="1:4" x14ac:dyDescent="0.25">
      <c r="A112">
        <f>products!A109</f>
        <v>108</v>
      </c>
      <c r="B112" t="str">
        <f>products!B109</f>
        <v>Aluminium and aluminium products</v>
      </c>
      <c r="C112" t="str">
        <f>products!C109</f>
        <v>p27.42</v>
      </c>
      <c r="D112" t="str">
        <f>products!D109</f>
        <v>C_ALUM</v>
      </c>
    </row>
    <row r="113" spans="1:4" x14ac:dyDescent="0.25">
      <c r="A113">
        <f>products!A110</f>
        <v>109</v>
      </c>
      <c r="B113" t="str">
        <f>products!B110</f>
        <v>Secondary aluminium for treatment, Re-processing of secondary aluminium into new aluminium</v>
      </c>
      <c r="C113" t="str">
        <f>products!C110</f>
        <v>p27.42.w</v>
      </c>
      <c r="D113" t="str">
        <f>products!D110</f>
        <v>C_ALUW</v>
      </c>
    </row>
    <row r="114" spans="1:4" x14ac:dyDescent="0.25">
      <c r="A114">
        <f>products!A111</f>
        <v>110</v>
      </c>
      <c r="B114" t="str">
        <f>products!B111</f>
        <v>Lead, zinc and tin and products thereof</v>
      </c>
      <c r="C114" t="str">
        <f>products!C111</f>
        <v>p27.43</v>
      </c>
      <c r="D114" t="str">
        <f>products!D111</f>
        <v>C_LZTP</v>
      </c>
    </row>
    <row r="115" spans="1:4" x14ac:dyDescent="0.25">
      <c r="A115">
        <f>products!A112</f>
        <v>111</v>
      </c>
      <c r="B115" t="str">
        <f>products!B112</f>
        <v>Secondary lead for treatment, Re-processing of secondary lead into new lead</v>
      </c>
      <c r="C115" t="str">
        <f>products!C112</f>
        <v>p27.43.w</v>
      </c>
      <c r="D115" t="str">
        <f>products!D112</f>
        <v>C_LZTW</v>
      </c>
    </row>
    <row r="116" spans="1:4" x14ac:dyDescent="0.25">
      <c r="A116">
        <f>products!A113</f>
        <v>112</v>
      </c>
      <c r="B116" t="str">
        <f>products!B113</f>
        <v>Copper products</v>
      </c>
      <c r="C116" t="str">
        <f>products!C113</f>
        <v>p27.44</v>
      </c>
      <c r="D116" t="str">
        <f>products!D113</f>
        <v>C_COPP</v>
      </c>
    </row>
    <row r="117" spans="1:4" x14ac:dyDescent="0.25">
      <c r="A117">
        <f>products!A114</f>
        <v>113</v>
      </c>
      <c r="B117" t="str">
        <f>products!B114</f>
        <v>Secondary copper for treatment, Re-processing of secondary copper into new copper</v>
      </c>
      <c r="C117" t="str">
        <f>products!C114</f>
        <v>p27.44.w</v>
      </c>
      <c r="D117" t="str">
        <f>products!D114</f>
        <v>C_COPW</v>
      </c>
    </row>
    <row r="118" spans="1:4" x14ac:dyDescent="0.25">
      <c r="A118">
        <f>products!A115</f>
        <v>114</v>
      </c>
      <c r="B118" t="str">
        <f>products!B115</f>
        <v>Other non-ferrous metal products</v>
      </c>
      <c r="C118" t="str">
        <f>products!C115</f>
        <v>p27.45</v>
      </c>
      <c r="D118" t="str">
        <f>products!D115</f>
        <v>C_ONFM</v>
      </c>
    </row>
    <row r="119" spans="1:4" x14ac:dyDescent="0.25">
      <c r="A119">
        <f>products!A116</f>
        <v>115</v>
      </c>
      <c r="B119" t="str">
        <f>products!B116</f>
        <v>Secondary other non-ferrous metals for treatment, Re-processing of secondary other non-ferrous metals into new other non-ferrous metals</v>
      </c>
      <c r="C119" t="str">
        <f>products!C116</f>
        <v>p27.45.w</v>
      </c>
      <c r="D119" t="str">
        <f>products!D116</f>
        <v>C_ONFW</v>
      </c>
    </row>
    <row r="120" spans="1:4" x14ac:dyDescent="0.25">
      <c r="A120">
        <f>products!A117</f>
        <v>116</v>
      </c>
      <c r="B120" t="str">
        <f>products!B117</f>
        <v>Foundry work services</v>
      </c>
      <c r="C120" t="str">
        <f>products!C117</f>
        <v>p27.5</v>
      </c>
      <c r="D120" t="str">
        <f>products!D117</f>
        <v>C_METC</v>
      </c>
    </row>
    <row r="121" spans="1:4" x14ac:dyDescent="0.25">
      <c r="A121">
        <f>products!A118</f>
        <v>117</v>
      </c>
      <c r="B121" t="str">
        <f>products!B118</f>
        <v>Fabricated metal products, except machinery and equipment (28)</v>
      </c>
      <c r="C121" t="str">
        <f>products!C118</f>
        <v>p28</v>
      </c>
      <c r="D121" t="str">
        <f>products!D118</f>
        <v>C_FABM</v>
      </c>
    </row>
    <row r="122" spans="1:4" x14ac:dyDescent="0.25">
      <c r="A122">
        <f>products!A119</f>
        <v>118</v>
      </c>
      <c r="B122" t="str">
        <f>products!B119</f>
        <v>Machinery and equipment n.e.c. (29)</v>
      </c>
      <c r="C122" t="str">
        <f>products!C119</f>
        <v>p29</v>
      </c>
      <c r="D122" t="str">
        <f>products!D119</f>
        <v>C_MACH</v>
      </c>
    </row>
    <row r="123" spans="1:4" x14ac:dyDescent="0.25">
      <c r="A123">
        <f>products!A120</f>
        <v>119</v>
      </c>
      <c r="B123" t="str">
        <f>products!B120</f>
        <v>Office machinery and computers (30)</v>
      </c>
      <c r="C123" t="str">
        <f>products!C120</f>
        <v>p30</v>
      </c>
      <c r="D123" t="str">
        <f>products!D120</f>
        <v>C_OFMA</v>
      </c>
    </row>
    <row r="124" spans="1:4" x14ac:dyDescent="0.25">
      <c r="A124">
        <f>products!A121</f>
        <v>120</v>
      </c>
      <c r="B124" t="str">
        <f>products!B121</f>
        <v>Electrical machinery and apparatus n.e.c. (31)</v>
      </c>
      <c r="C124" t="str">
        <f>products!C121</f>
        <v>p31</v>
      </c>
      <c r="D124" t="str">
        <f>products!D121</f>
        <v>C_ELMA</v>
      </c>
    </row>
    <row r="125" spans="1:4" x14ac:dyDescent="0.25">
      <c r="A125">
        <f>products!A122</f>
        <v>121</v>
      </c>
      <c r="B125" t="str">
        <f>products!B122</f>
        <v>Radio, television and communication equipment and apparatus (32)</v>
      </c>
      <c r="C125" t="str">
        <f>products!C122</f>
        <v>p32</v>
      </c>
      <c r="D125" t="str">
        <f>products!D122</f>
        <v>C_RATV</v>
      </c>
    </row>
    <row r="126" spans="1:4" x14ac:dyDescent="0.25">
      <c r="A126">
        <f>products!A123</f>
        <v>122</v>
      </c>
      <c r="B126" t="str">
        <f>products!B123</f>
        <v>Medical, precision and optical instruments, watches and clocks (33)</v>
      </c>
      <c r="C126" t="str">
        <f>products!C123</f>
        <v>p33</v>
      </c>
      <c r="D126" t="str">
        <f>products!D123</f>
        <v>C_MEIN</v>
      </c>
    </row>
    <row r="127" spans="1:4" x14ac:dyDescent="0.25">
      <c r="A127">
        <f>products!A124</f>
        <v>123</v>
      </c>
      <c r="B127" t="str">
        <f>products!B124</f>
        <v>Motor vehicles, trailers and semi-trailers (34)</v>
      </c>
      <c r="C127" t="str">
        <f>products!C124</f>
        <v>p34</v>
      </c>
      <c r="D127" t="str">
        <f>products!D124</f>
        <v>C_MOTO</v>
      </c>
    </row>
    <row r="128" spans="1:4" x14ac:dyDescent="0.25">
      <c r="A128">
        <f>products!A125</f>
        <v>124</v>
      </c>
      <c r="B128" t="str">
        <f>products!B125</f>
        <v>Other transport equipment (35)</v>
      </c>
      <c r="C128" t="str">
        <f>products!C125</f>
        <v>p35</v>
      </c>
      <c r="D128" t="str">
        <f>products!D125</f>
        <v>C_OTRE</v>
      </c>
    </row>
    <row r="129" spans="1:4" x14ac:dyDescent="0.25">
      <c r="A129">
        <f>products!A126</f>
        <v>125</v>
      </c>
      <c r="B129" t="str">
        <f>products!B126</f>
        <v>Furniture; other manufactured goods n.e.c. (36)</v>
      </c>
      <c r="C129" t="str">
        <f>products!C126</f>
        <v>p36</v>
      </c>
      <c r="D129" t="str">
        <f>products!D126</f>
        <v>C_FURN</v>
      </c>
    </row>
    <row r="130" spans="1:4" x14ac:dyDescent="0.25">
      <c r="A130">
        <f>products!A127</f>
        <v>126</v>
      </c>
      <c r="B130" t="str">
        <f>products!B127</f>
        <v>Secondary raw materials</v>
      </c>
      <c r="C130" t="str">
        <f>products!C127</f>
        <v>p37</v>
      </c>
      <c r="D130" t="str">
        <f>products!D127</f>
        <v>C_RYMS</v>
      </c>
    </row>
    <row r="131" spans="1:4" x14ac:dyDescent="0.25">
      <c r="A131">
        <f>products!A128</f>
        <v>127</v>
      </c>
      <c r="B131" t="str">
        <f>products!B128</f>
        <v>Bottles for treatment, Recycling of bottles by direct reuse</v>
      </c>
      <c r="C131" t="str">
        <f>products!C128</f>
        <v>p37.w.1</v>
      </c>
      <c r="D131" t="str">
        <f>products!D128</f>
        <v>C_BOTW</v>
      </c>
    </row>
    <row r="132" spans="1:4" x14ac:dyDescent="0.25">
      <c r="A132">
        <f>products!A129</f>
        <v>128</v>
      </c>
      <c r="B132" t="str">
        <f>products!B129</f>
        <v>Electricity by coal</v>
      </c>
      <c r="C132" t="str">
        <f>products!C129</f>
        <v>p40.11.a</v>
      </c>
      <c r="D132" t="str">
        <f>products!D129</f>
        <v>C_POWC</v>
      </c>
    </row>
    <row r="133" spans="1:4" x14ac:dyDescent="0.25">
      <c r="A133">
        <f>products!A130</f>
        <v>129</v>
      </c>
      <c r="B133" t="str">
        <f>products!B130</f>
        <v>Electricity by gas</v>
      </c>
      <c r="C133" t="str">
        <f>products!C130</f>
        <v>p40.11.b</v>
      </c>
      <c r="D133" t="str">
        <f>products!D130</f>
        <v>C_POWG</v>
      </c>
    </row>
    <row r="134" spans="1:4" x14ac:dyDescent="0.25">
      <c r="A134">
        <f>products!A131</f>
        <v>130</v>
      </c>
      <c r="B134" t="str">
        <f>products!B131</f>
        <v>Electricity by nuclear</v>
      </c>
      <c r="C134" t="str">
        <f>products!C131</f>
        <v>p40.11.c</v>
      </c>
      <c r="D134" t="str">
        <f>products!D131</f>
        <v>C_POWN</v>
      </c>
    </row>
    <row r="135" spans="1:4" x14ac:dyDescent="0.25">
      <c r="A135">
        <f>products!A132</f>
        <v>131</v>
      </c>
      <c r="B135" t="str">
        <f>products!B132</f>
        <v>Electricity by hydro</v>
      </c>
      <c r="C135" t="str">
        <f>products!C132</f>
        <v>p40.11.d</v>
      </c>
      <c r="D135" t="str">
        <f>products!D132</f>
        <v>C_POWH</v>
      </c>
    </row>
    <row r="136" spans="1:4" x14ac:dyDescent="0.25">
      <c r="A136">
        <f>products!A133</f>
        <v>132</v>
      </c>
      <c r="B136" t="str">
        <f>products!B133</f>
        <v>Electricity by wind</v>
      </c>
      <c r="C136" t="str">
        <f>products!C133</f>
        <v>p40.11.e</v>
      </c>
      <c r="D136" t="str">
        <f>products!D133</f>
        <v>C_POWW</v>
      </c>
    </row>
    <row r="137" spans="1:4" x14ac:dyDescent="0.25">
      <c r="A137">
        <f>products!A134</f>
        <v>133</v>
      </c>
      <c r="B137" t="str">
        <f>products!B134</f>
        <v>Electricity by petroleum and other oil derivatives</v>
      </c>
      <c r="C137" t="str">
        <f>products!C134</f>
        <v>p40.11.f</v>
      </c>
      <c r="D137" t="str">
        <f>products!D134</f>
        <v>C_POWP</v>
      </c>
    </row>
    <row r="138" spans="1:4" x14ac:dyDescent="0.25">
      <c r="A138">
        <f>products!A135</f>
        <v>134</v>
      </c>
      <c r="B138" t="str">
        <f>products!B135</f>
        <v>Electricity by biomass and waste</v>
      </c>
      <c r="C138" t="str">
        <f>products!C135</f>
        <v>p40.11.g</v>
      </c>
      <c r="D138" t="str">
        <f>products!D135</f>
        <v>C_POWB</v>
      </c>
    </row>
    <row r="139" spans="1:4" x14ac:dyDescent="0.25">
      <c r="A139">
        <f>products!A136</f>
        <v>135</v>
      </c>
      <c r="B139" t="str">
        <f>products!B136</f>
        <v>Electricity by solar photovoltaic</v>
      </c>
      <c r="C139" t="str">
        <f>products!C136</f>
        <v>p40.11.h</v>
      </c>
      <c r="D139" t="str">
        <f>products!D136</f>
        <v>C_POWS</v>
      </c>
    </row>
    <row r="140" spans="1:4" x14ac:dyDescent="0.25">
      <c r="A140">
        <f>products!A137</f>
        <v>136</v>
      </c>
      <c r="B140" t="str">
        <f>products!B137</f>
        <v>Electricity by solar thermal</v>
      </c>
      <c r="C140" t="str">
        <f>products!C137</f>
        <v>p40.11.i</v>
      </c>
      <c r="D140" t="str">
        <f>products!D137</f>
        <v>C_POWE</v>
      </c>
    </row>
    <row r="141" spans="1:4" x14ac:dyDescent="0.25">
      <c r="A141">
        <f>products!A138</f>
        <v>137</v>
      </c>
      <c r="B141" t="str">
        <f>products!B138</f>
        <v>Electricity by tide, wave, ocean</v>
      </c>
      <c r="C141" t="str">
        <f>products!C138</f>
        <v>p40.11.j</v>
      </c>
      <c r="D141" t="str">
        <f>products!D138</f>
        <v>C_POWO</v>
      </c>
    </row>
    <row r="142" spans="1:4" x14ac:dyDescent="0.25">
      <c r="A142">
        <f>products!A139</f>
        <v>138</v>
      </c>
      <c r="B142" t="str">
        <f>products!B139</f>
        <v>Electricity by Geothermal</v>
      </c>
      <c r="C142" t="str">
        <f>products!C139</f>
        <v>p40.11.k</v>
      </c>
      <c r="D142" t="str">
        <f>products!D139</f>
        <v>C_POWM</v>
      </c>
    </row>
    <row r="143" spans="1:4" x14ac:dyDescent="0.25">
      <c r="A143">
        <f>products!A140</f>
        <v>139</v>
      </c>
      <c r="B143" t="str">
        <f>products!B140</f>
        <v>Electricity nec</v>
      </c>
      <c r="C143" t="str">
        <f>products!C140</f>
        <v>p40.11.l</v>
      </c>
      <c r="D143" t="str">
        <f>products!D140</f>
        <v>C_POWZ</v>
      </c>
    </row>
    <row r="144" spans="1:4" x14ac:dyDescent="0.25">
      <c r="A144">
        <f>products!A141</f>
        <v>140</v>
      </c>
      <c r="B144" t="str">
        <f>products!B141</f>
        <v>Transmission services of electricity</v>
      </c>
      <c r="C144" t="str">
        <f>products!C141</f>
        <v>p40.12</v>
      </c>
      <c r="D144" t="str">
        <f>products!D141</f>
        <v>C_POWT</v>
      </c>
    </row>
    <row r="145" spans="1:4" x14ac:dyDescent="0.25">
      <c r="A145">
        <f>products!A142</f>
        <v>141</v>
      </c>
      <c r="B145" t="str">
        <f>products!B142</f>
        <v>Distribution and trade services of electricity</v>
      </c>
      <c r="C145" t="str">
        <f>products!C142</f>
        <v>p40.13</v>
      </c>
      <c r="D145" t="str">
        <f>products!D142</f>
        <v>C_POWD</v>
      </c>
    </row>
    <row r="146" spans="1:4" x14ac:dyDescent="0.25">
      <c r="A146">
        <f>products!A143</f>
        <v>142</v>
      </c>
      <c r="B146" t="str">
        <f>products!B143</f>
        <v>Coke oven gas</v>
      </c>
      <c r="C146" t="str">
        <f>products!C143</f>
        <v>p40.2.a</v>
      </c>
      <c r="D146" t="str">
        <f>products!D143</f>
        <v>C_COOG</v>
      </c>
    </row>
    <row r="147" spans="1:4" x14ac:dyDescent="0.25">
      <c r="A147">
        <f>products!A144</f>
        <v>143</v>
      </c>
      <c r="B147" t="str">
        <f>products!B144</f>
        <v>Blast Furnace Gas</v>
      </c>
      <c r="C147" t="str">
        <f>products!C144</f>
        <v>p40.2.b</v>
      </c>
      <c r="D147" t="str">
        <f>products!D144</f>
        <v>C_MBFG</v>
      </c>
    </row>
    <row r="148" spans="1:4" x14ac:dyDescent="0.25">
      <c r="A148">
        <f>products!A145</f>
        <v>144</v>
      </c>
      <c r="B148" t="str">
        <f>products!B145</f>
        <v>Oxygen Steel Furnace Gas</v>
      </c>
      <c r="C148" t="str">
        <f>products!C145</f>
        <v>p40.2.c</v>
      </c>
      <c r="D148" t="str">
        <f>products!D145</f>
        <v>C_MOSG</v>
      </c>
    </row>
    <row r="149" spans="1:4" x14ac:dyDescent="0.25">
      <c r="A149">
        <f>products!A146</f>
        <v>145</v>
      </c>
      <c r="B149" t="str">
        <f>products!B146</f>
        <v>Gas Works Gas</v>
      </c>
      <c r="C149" t="str">
        <f>products!C146</f>
        <v>p40.2.d</v>
      </c>
      <c r="D149" t="str">
        <f>products!D146</f>
        <v>C_MGWG</v>
      </c>
    </row>
    <row r="150" spans="1:4" x14ac:dyDescent="0.25">
      <c r="A150">
        <f>products!A147</f>
        <v>146</v>
      </c>
      <c r="B150" t="str">
        <f>products!B147</f>
        <v>Biogas</v>
      </c>
      <c r="C150" t="str">
        <f>products!C147</f>
        <v>p40.2.e</v>
      </c>
      <c r="D150" t="str">
        <f>products!D147</f>
        <v>C_MBIO</v>
      </c>
    </row>
    <row r="151" spans="1:4" x14ac:dyDescent="0.25">
      <c r="A151">
        <f>products!A148</f>
        <v>147</v>
      </c>
      <c r="B151" t="str">
        <f>products!B148</f>
        <v>Distribution services of gaseous fuels through mains</v>
      </c>
      <c r="C151" t="str">
        <f>products!C148</f>
        <v>p40.2.1</v>
      </c>
      <c r="D151" t="str">
        <f>products!D148</f>
        <v>C_GASD</v>
      </c>
    </row>
    <row r="152" spans="1:4" x14ac:dyDescent="0.25">
      <c r="A152">
        <f>products!A149</f>
        <v>148</v>
      </c>
      <c r="B152" t="str">
        <f>products!B149</f>
        <v>Steam and hot water supply services</v>
      </c>
      <c r="C152" t="str">
        <f>products!C149</f>
        <v>p40.3</v>
      </c>
      <c r="D152" t="str">
        <f>products!D149</f>
        <v>C_HWAT</v>
      </c>
    </row>
    <row r="153" spans="1:4" x14ac:dyDescent="0.25">
      <c r="A153">
        <f>products!A150</f>
        <v>149</v>
      </c>
      <c r="B153" t="str">
        <f>products!B150</f>
        <v>Collected and purified water, distribution services of water (41)</v>
      </c>
      <c r="C153" t="str">
        <f>products!C150</f>
        <v>p41</v>
      </c>
      <c r="D153" t="str">
        <f>products!D150</f>
        <v>C_WATR</v>
      </c>
    </row>
    <row r="154" spans="1:4" x14ac:dyDescent="0.25">
      <c r="A154">
        <f>products!A151</f>
        <v>150</v>
      </c>
      <c r="B154" t="str">
        <f>products!B151</f>
        <v>Construction work (45)</v>
      </c>
      <c r="C154" t="str">
        <f>products!C151</f>
        <v>p45</v>
      </c>
      <c r="D154" t="str">
        <f>products!D151</f>
        <v>C_CONS</v>
      </c>
    </row>
    <row r="155" spans="1:4" x14ac:dyDescent="0.25">
      <c r="A155">
        <f>products!A152</f>
        <v>151</v>
      </c>
      <c r="B155" t="str">
        <f>products!B152</f>
        <v>Secondary construction material for treatment, Re-processing of secondary construction material into aggregates</v>
      </c>
      <c r="C155" t="str">
        <f>products!C152</f>
        <v>p45.w</v>
      </c>
      <c r="D155" t="str">
        <f>products!D152</f>
        <v>C_CONW</v>
      </c>
    </row>
    <row r="156" spans="1:4" x14ac:dyDescent="0.25">
      <c r="A156">
        <f>products!A153</f>
        <v>152</v>
      </c>
      <c r="B156" t="str">
        <f>products!B153</f>
        <v>Sale, maintenance, repair of motor vehicles, motor vehicles parts, motorcycles, motor cycles parts and accessoiries</v>
      </c>
      <c r="C156" t="str">
        <f>products!C153</f>
        <v>p50.a</v>
      </c>
      <c r="D156" t="str">
        <f>products!D153</f>
        <v>C_TDMO</v>
      </c>
    </row>
    <row r="157" spans="1:4" x14ac:dyDescent="0.25">
      <c r="A157">
        <f>products!A154</f>
        <v>153</v>
      </c>
      <c r="B157" t="str">
        <f>products!B154</f>
        <v>Retail trade services of motor fuel</v>
      </c>
      <c r="C157" t="str">
        <f>products!C154</f>
        <v>p50.b</v>
      </c>
      <c r="D157" t="str">
        <f>products!D154</f>
        <v>C_TDFU</v>
      </c>
    </row>
    <row r="158" spans="1:4" x14ac:dyDescent="0.25">
      <c r="A158">
        <f>products!A155</f>
        <v>154</v>
      </c>
      <c r="B158" t="str">
        <f>products!B155</f>
        <v>Wholesale trade and commission trade services, except of motor vehicles and motorcycles (51)</v>
      </c>
      <c r="C158" t="str">
        <f>products!C155</f>
        <v>p51</v>
      </c>
      <c r="D158" t="str">
        <f>products!D155</f>
        <v>C_TDWH</v>
      </c>
    </row>
    <row r="159" spans="1:4" x14ac:dyDescent="0.25">
      <c r="A159">
        <f>products!A156</f>
        <v>155</v>
      </c>
      <c r="B159" t="str">
        <f>products!B156</f>
        <v>Retail  trade services, except of motor vehicles and motorcycles; repair services of personal and household goods (52)</v>
      </c>
      <c r="C159" t="str">
        <f>products!C156</f>
        <v>p52</v>
      </c>
      <c r="D159" t="str">
        <f>products!D156</f>
        <v>C_TDRT</v>
      </c>
    </row>
    <row r="160" spans="1:4" x14ac:dyDescent="0.25">
      <c r="A160">
        <f>products!A157</f>
        <v>156</v>
      </c>
      <c r="B160" t="str">
        <f>products!B157</f>
        <v>Hotel and restaurant services (55)</v>
      </c>
      <c r="C160" t="str">
        <f>products!C157</f>
        <v>p55</v>
      </c>
      <c r="D160" t="str">
        <f>products!D157</f>
        <v>C_HORE</v>
      </c>
    </row>
    <row r="161" spans="1:4" x14ac:dyDescent="0.25">
      <c r="A161">
        <f>products!A158</f>
        <v>157</v>
      </c>
      <c r="B161" t="str">
        <f>products!B158</f>
        <v>Railway transportation services</v>
      </c>
      <c r="C161" t="str">
        <f>products!C158</f>
        <v>p60.1</v>
      </c>
      <c r="D161" t="str">
        <f>products!D158</f>
        <v>C_TRAI</v>
      </c>
    </row>
    <row r="162" spans="1:4" x14ac:dyDescent="0.25">
      <c r="A162">
        <f>products!A159</f>
        <v>158</v>
      </c>
      <c r="B162" t="str">
        <f>products!B159</f>
        <v>Other land transportation services</v>
      </c>
      <c r="C162" t="str">
        <f>products!C159</f>
        <v>p60.2</v>
      </c>
      <c r="D162" t="str">
        <f>products!D159</f>
        <v>C_TLND</v>
      </c>
    </row>
    <row r="163" spans="1:4" x14ac:dyDescent="0.25">
      <c r="A163">
        <f>products!A160</f>
        <v>159</v>
      </c>
      <c r="B163" t="str">
        <f>products!B160</f>
        <v>Transportation services via pipelines</v>
      </c>
      <c r="C163" t="str">
        <f>products!C160</f>
        <v>p60.3</v>
      </c>
      <c r="D163" t="str">
        <f>products!D160</f>
        <v>C_TPIP</v>
      </c>
    </row>
    <row r="164" spans="1:4" x14ac:dyDescent="0.25">
      <c r="A164">
        <f>products!A161</f>
        <v>160</v>
      </c>
      <c r="B164" t="str">
        <f>products!B161</f>
        <v>Sea and coastal water transportation services</v>
      </c>
      <c r="C164" t="str">
        <f>products!C161</f>
        <v>p61.1</v>
      </c>
      <c r="D164" t="str">
        <f>products!D161</f>
        <v>C_TWAS</v>
      </c>
    </row>
    <row r="165" spans="1:4" x14ac:dyDescent="0.25">
      <c r="A165">
        <f>products!A162</f>
        <v>161</v>
      </c>
      <c r="B165" t="str">
        <f>products!B162</f>
        <v>Inland water transportation services</v>
      </c>
      <c r="C165" t="str">
        <f>products!C162</f>
        <v>p61.2</v>
      </c>
      <c r="D165" t="str">
        <f>products!D162</f>
        <v>C_TWAI</v>
      </c>
    </row>
    <row r="166" spans="1:4" x14ac:dyDescent="0.25">
      <c r="A166">
        <f>products!A163</f>
        <v>162</v>
      </c>
      <c r="B166" t="str">
        <f>products!B163</f>
        <v>Air transport services (62)</v>
      </c>
      <c r="C166" t="str">
        <f>products!C163</f>
        <v>p62</v>
      </c>
      <c r="D166" t="str">
        <f>products!D163</f>
        <v>C_TAIR</v>
      </c>
    </row>
    <row r="167" spans="1:4" x14ac:dyDescent="0.25">
      <c r="A167">
        <f>products!A164</f>
        <v>163</v>
      </c>
      <c r="B167" t="str">
        <f>products!B164</f>
        <v>Supporting and auxiliary transport services; travel agency services (63)</v>
      </c>
      <c r="C167" t="str">
        <f>products!C164</f>
        <v>p63</v>
      </c>
      <c r="D167" t="str">
        <f>products!D164</f>
        <v>C_TAUX</v>
      </c>
    </row>
    <row r="168" spans="1:4" x14ac:dyDescent="0.25">
      <c r="A168">
        <f>products!A165</f>
        <v>164</v>
      </c>
      <c r="B168" t="str">
        <f>products!B165</f>
        <v>Post and telecommunication services (64)</v>
      </c>
      <c r="C168" t="str">
        <f>products!C165</f>
        <v>p64</v>
      </c>
      <c r="D168" t="str">
        <f>products!D165</f>
        <v>C_PTEL</v>
      </c>
    </row>
    <row r="169" spans="1:4" x14ac:dyDescent="0.25">
      <c r="A169">
        <f>products!A166</f>
        <v>165</v>
      </c>
      <c r="B169" t="str">
        <f>products!B166</f>
        <v>Financial intermediation services, except insurance and pension funding services (65)</v>
      </c>
      <c r="C169" t="str">
        <f>products!C166</f>
        <v>p65</v>
      </c>
      <c r="D169" t="str">
        <f>products!D166</f>
        <v>C_FINT</v>
      </c>
    </row>
    <row r="170" spans="1:4" x14ac:dyDescent="0.25">
      <c r="A170">
        <f>products!A167</f>
        <v>166</v>
      </c>
      <c r="B170" t="str">
        <f>products!B167</f>
        <v>Insurance and pension funding services, except compulsory social security services (66)</v>
      </c>
      <c r="C170" t="str">
        <f>products!C167</f>
        <v>p66</v>
      </c>
      <c r="D170" t="str">
        <f>products!D167</f>
        <v>C_FINS</v>
      </c>
    </row>
    <row r="171" spans="1:4" x14ac:dyDescent="0.25">
      <c r="A171">
        <f>products!A168</f>
        <v>167</v>
      </c>
      <c r="B171" t="str">
        <f>products!B168</f>
        <v>Services auxiliary to financial intermediation (67)</v>
      </c>
      <c r="C171" t="str">
        <f>products!C168</f>
        <v>p67</v>
      </c>
      <c r="D171" t="str">
        <f>products!D168</f>
        <v>C_FAUX</v>
      </c>
    </row>
    <row r="172" spans="1:4" x14ac:dyDescent="0.25">
      <c r="A172">
        <f>products!A169</f>
        <v>168</v>
      </c>
      <c r="B172" t="str">
        <f>products!B169</f>
        <v>Real estate services (70)</v>
      </c>
      <c r="C172" t="str">
        <f>products!C169</f>
        <v>p70</v>
      </c>
      <c r="D172" t="str">
        <f>products!D169</f>
        <v>C_REAL</v>
      </c>
    </row>
    <row r="173" spans="1:4" x14ac:dyDescent="0.25">
      <c r="A173">
        <f>products!A170</f>
        <v>169</v>
      </c>
      <c r="B173" t="str">
        <f>products!B170</f>
        <v>Renting services of machinery and equipment without operator and of personal and household goods (71)</v>
      </c>
      <c r="C173" t="str">
        <f>products!C170</f>
        <v>p71</v>
      </c>
      <c r="D173" t="str">
        <f>products!D170</f>
        <v>C_MARE</v>
      </c>
    </row>
    <row r="174" spans="1:4" x14ac:dyDescent="0.25">
      <c r="A174">
        <f>products!A171</f>
        <v>170</v>
      </c>
      <c r="B174" t="str">
        <f>products!B171</f>
        <v>Computer and related services (72)</v>
      </c>
      <c r="C174" t="str">
        <f>products!C171</f>
        <v>p72</v>
      </c>
      <c r="D174" t="str">
        <f>products!D171</f>
        <v>C_COMP</v>
      </c>
    </row>
    <row r="175" spans="1:4" x14ac:dyDescent="0.25">
      <c r="A175">
        <f>products!A172</f>
        <v>171</v>
      </c>
      <c r="B175" t="str">
        <f>products!B172</f>
        <v>Research and development services (73)</v>
      </c>
      <c r="C175" t="str">
        <f>products!C172</f>
        <v>p73</v>
      </c>
      <c r="D175" t="str">
        <f>products!D172</f>
        <v>C_RESD</v>
      </c>
    </row>
    <row r="176" spans="1:4" x14ac:dyDescent="0.25">
      <c r="A176">
        <f>products!A173</f>
        <v>172</v>
      </c>
      <c r="B176" t="str">
        <f>products!B173</f>
        <v>Other business services (74)</v>
      </c>
      <c r="C176" t="str">
        <f>products!C173</f>
        <v>p74</v>
      </c>
      <c r="D176" t="str">
        <f>products!D173</f>
        <v>C_OBUS</v>
      </c>
    </row>
    <row r="177" spans="1:4" x14ac:dyDescent="0.25">
      <c r="A177">
        <f>products!A174</f>
        <v>173</v>
      </c>
      <c r="B177" t="str">
        <f>products!B174</f>
        <v>Public administration and defence services; compulsory social security services (75)</v>
      </c>
      <c r="C177" t="str">
        <f>products!C174</f>
        <v>p75</v>
      </c>
      <c r="D177" t="str">
        <f>products!D174</f>
        <v>C_PADF</v>
      </c>
    </row>
    <row r="178" spans="1:4" x14ac:dyDescent="0.25">
      <c r="A178">
        <f>products!A175</f>
        <v>174</v>
      </c>
      <c r="B178" t="str">
        <f>products!B175</f>
        <v>Education services (80)</v>
      </c>
      <c r="C178" t="str">
        <f>products!C175</f>
        <v>p80</v>
      </c>
      <c r="D178" t="str">
        <f>products!D175</f>
        <v>C_EDUC</v>
      </c>
    </row>
    <row r="179" spans="1:4" x14ac:dyDescent="0.25">
      <c r="A179">
        <f>products!A176</f>
        <v>175</v>
      </c>
      <c r="B179" t="str">
        <f>products!B176</f>
        <v>Health and social work services (85)</v>
      </c>
      <c r="C179" t="str">
        <f>products!C176</f>
        <v>p85</v>
      </c>
      <c r="D179" t="str">
        <f>products!D176</f>
        <v>C_HEAL</v>
      </c>
    </row>
    <row r="180" spans="1:4" x14ac:dyDescent="0.25">
      <c r="A180">
        <f>products!A177</f>
        <v>176</v>
      </c>
      <c r="B180" t="str">
        <f>products!B177</f>
        <v>Food waste for treatment: incineration</v>
      </c>
      <c r="C180" t="str">
        <f>products!C177</f>
        <v>p90.1.a</v>
      </c>
      <c r="D180" t="str">
        <f>products!D177</f>
        <v>C_INCF</v>
      </c>
    </row>
    <row r="181" spans="1:4" x14ac:dyDescent="0.25">
      <c r="A181">
        <f>products!A178</f>
        <v>177</v>
      </c>
      <c r="B181" t="str">
        <f>products!B178</f>
        <v>Paper waste for treatment: incineration</v>
      </c>
      <c r="C181" t="str">
        <f>products!C178</f>
        <v>p90.1.b</v>
      </c>
      <c r="D181" t="str">
        <f>products!D178</f>
        <v>C_INCP</v>
      </c>
    </row>
    <row r="182" spans="1:4" x14ac:dyDescent="0.25">
      <c r="A182">
        <f>products!A179</f>
        <v>178</v>
      </c>
      <c r="B182" t="str">
        <f>products!B179</f>
        <v>Plastic waste for treatment: incineration</v>
      </c>
      <c r="C182" t="str">
        <f>products!C179</f>
        <v>p90.1.c</v>
      </c>
      <c r="D182" t="str">
        <f>products!D179</f>
        <v>C_INCL</v>
      </c>
    </row>
    <row r="183" spans="1:4" x14ac:dyDescent="0.25">
      <c r="A183">
        <f>products!A180</f>
        <v>179</v>
      </c>
      <c r="B183" t="str">
        <f>products!B180</f>
        <v>Intert/metal waste for treatment: incineration</v>
      </c>
      <c r="C183" t="str">
        <f>products!C180</f>
        <v>p90.1.d</v>
      </c>
      <c r="D183" t="str">
        <f>products!D180</f>
        <v>C_INCM</v>
      </c>
    </row>
    <row r="184" spans="1:4" x14ac:dyDescent="0.25">
      <c r="A184">
        <f>products!A181</f>
        <v>180</v>
      </c>
      <c r="B184" t="str">
        <f>products!B181</f>
        <v>Textiles waste for treatment: incineration</v>
      </c>
      <c r="C184" t="str">
        <f>products!C181</f>
        <v>p90.1.e</v>
      </c>
      <c r="D184" t="str">
        <f>products!D181</f>
        <v>C_INCT</v>
      </c>
    </row>
    <row r="185" spans="1:4" x14ac:dyDescent="0.25">
      <c r="A185">
        <f>products!A182</f>
        <v>181</v>
      </c>
      <c r="B185" t="str">
        <f>products!B182</f>
        <v>Wood waste for treatment: incineration</v>
      </c>
      <c r="C185" t="str">
        <f>products!C182</f>
        <v>p90.1.f</v>
      </c>
      <c r="D185" t="str">
        <f>products!D182</f>
        <v>C_INCW</v>
      </c>
    </row>
    <row r="186" spans="1:4" x14ac:dyDescent="0.25">
      <c r="A186">
        <f>products!A183</f>
        <v>182</v>
      </c>
      <c r="B186" t="str">
        <f>products!B183</f>
        <v>Oil/hazardous waste for treatment: incineration</v>
      </c>
      <c r="C186" t="str">
        <f>products!C183</f>
        <v>p90.1.g</v>
      </c>
      <c r="D186" t="str">
        <f>products!D183</f>
        <v>C_INCO</v>
      </c>
    </row>
    <row r="187" spans="1:4" x14ac:dyDescent="0.25">
      <c r="A187">
        <f>products!A184</f>
        <v>183</v>
      </c>
      <c r="B187" t="str">
        <f>products!B184</f>
        <v>Food waste for treatment: biogasification and land application</v>
      </c>
      <c r="C187" t="str">
        <f>products!C184</f>
        <v>p90.2.a</v>
      </c>
      <c r="D187" t="str">
        <f>products!D184</f>
        <v>C_BIOF</v>
      </c>
    </row>
    <row r="188" spans="1:4" x14ac:dyDescent="0.25">
      <c r="A188">
        <f>products!A185</f>
        <v>184</v>
      </c>
      <c r="B188" t="str">
        <f>products!B185</f>
        <v>Paper waste for treatment: biogasification and land application</v>
      </c>
      <c r="C188" t="str">
        <f>products!C185</f>
        <v>p90.2.b</v>
      </c>
      <c r="D188" t="str">
        <f>products!D185</f>
        <v>C_BIOP</v>
      </c>
    </row>
    <row r="189" spans="1:4" x14ac:dyDescent="0.25">
      <c r="A189">
        <f>products!A186</f>
        <v>185</v>
      </c>
      <c r="B189" t="str">
        <f>products!B186</f>
        <v>Sewage sludge for treatment: biogasification and land application</v>
      </c>
      <c r="C189" t="str">
        <f>products!C186</f>
        <v>p90.2.c</v>
      </c>
      <c r="D189" t="str">
        <f>products!D186</f>
        <v>C_BIOS</v>
      </c>
    </row>
    <row r="190" spans="1:4" x14ac:dyDescent="0.25">
      <c r="A190">
        <f>products!A187</f>
        <v>186</v>
      </c>
      <c r="B190" t="str">
        <f>products!B187</f>
        <v>Food waste for treatment: composting and land application</v>
      </c>
      <c r="C190" t="str">
        <f>products!C187</f>
        <v>p90.3.a</v>
      </c>
      <c r="D190" t="str">
        <f>products!D187</f>
        <v>C_COMF</v>
      </c>
    </row>
    <row r="191" spans="1:4" x14ac:dyDescent="0.25">
      <c r="A191">
        <f>products!A188</f>
        <v>187</v>
      </c>
      <c r="B191" t="str">
        <f>products!B188</f>
        <v>Paper and wood waste for treatment: composting and land application</v>
      </c>
      <c r="C191" t="str">
        <f>products!C188</f>
        <v>p90.3.b</v>
      </c>
      <c r="D191" t="str">
        <f>products!D188</f>
        <v>C_COMW</v>
      </c>
    </row>
    <row r="192" spans="1:4" x14ac:dyDescent="0.25">
      <c r="A192">
        <f>products!A189</f>
        <v>188</v>
      </c>
      <c r="B192" t="str">
        <f>products!B189</f>
        <v>Food waste for treatment: waste water treatment</v>
      </c>
      <c r="C192" t="str">
        <f>products!C189</f>
        <v>p90.4.a</v>
      </c>
      <c r="D192" t="str">
        <f>products!D189</f>
        <v>C_WASF</v>
      </c>
    </row>
    <row r="193" spans="1:4" x14ac:dyDescent="0.25">
      <c r="A193">
        <f>products!A190</f>
        <v>189</v>
      </c>
      <c r="B193" t="str">
        <f>products!B190</f>
        <v>Other waste for treatment: waste water treatment</v>
      </c>
      <c r="C193" t="str">
        <f>products!C190</f>
        <v>p90.4.b</v>
      </c>
      <c r="D193" t="str">
        <f>products!D190</f>
        <v>C_WASO</v>
      </c>
    </row>
    <row r="194" spans="1:4" x14ac:dyDescent="0.25">
      <c r="A194">
        <f>products!A191</f>
        <v>190</v>
      </c>
      <c r="B194" t="str">
        <f>products!B191</f>
        <v>Food waste for treatment: landfill</v>
      </c>
      <c r="C194" t="str">
        <f>products!C191</f>
        <v>p90.5.a</v>
      </c>
      <c r="D194" t="str">
        <f>products!D191</f>
        <v>C_LANF</v>
      </c>
    </row>
    <row r="195" spans="1:4" x14ac:dyDescent="0.25">
      <c r="A195">
        <f>products!A192</f>
        <v>191</v>
      </c>
      <c r="B195" t="str">
        <f>products!B192</f>
        <v>Paper for treatment: landfill</v>
      </c>
      <c r="C195" t="str">
        <f>products!C192</f>
        <v>p90.5.b</v>
      </c>
      <c r="D195" t="str">
        <f>products!D192</f>
        <v>C_LANP</v>
      </c>
    </row>
    <row r="196" spans="1:4" x14ac:dyDescent="0.25">
      <c r="A196">
        <f>products!A193</f>
        <v>192</v>
      </c>
      <c r="B196" t="str">
        <f>products!B193</f>
        <v>Plastic waste for treatment: landfill</v>
      </c>
      <c r="C196" t="str">
        <f>products!C193</f>
        <v>p90.5.c</v>
      </c>
      <c r="D196" t="str">
        <f>products!D193</f>
        <v>C_LANL</v>
      </c>
    </row>
    <row r="197" spans="1:4" x14ac:dyDescent="0.25">
      <c r="A197">
        <f>products!A194</f>
        <v>193</v>
      </c>
      <c r="B197" t="str">
        <f>products!B194</f>
        <v>Inert/metal/hazardous waste for treatment: landfill</v>
      </c>
      <c r="C197" t="str">
        <f>products!C194</f>
        <v>p90.5.d</v>
      </c>
      <c r="D197" t="str">
        <f>products!D194</f>
        <v>C_LANI</v>
      </c>
    </row>
    <row r="198" spans="1:4" x14ac:dyDescent="0.25">
      <c r="A198">
        <f>products!A195</f>
        <v>194</v>
      </c>
      <c r="B198" t="str">
        <f>products!B195</f>
        <v>Textiles waste for treatment: landfill</v>
      </c>
      <c r="C198" t="str">
        <f>products!C195</f>
        <v>p90.5.e</v>
      </c>
      <c r="D198" t="str">
        <f>products!D195</f>
        <v>C_LANT</v>
      </c>
    </row>
    <row r="199" spans="1:4" x14ac:dyDescent="0.25">
      <c r="A199">
        <f>products!A196</f>
        <v>195</v>
      </c>
      <c r="B199" t="str">
        <f>products!B196</f>
        <v>Wood waste for treatment: landfill</v>
      </c>
      <c r="C199" t="str">
        <f>products!C196</f>
        <v>p90.5.f</v>
      </c>
      <c r="D199" t="str">
        <f>products!D196</f>
        <v>C_LANW</v>
      </c>
    </row>
    <row r="200" spans="1:4" x14ac:dyDescent="0.25">
      <c r="A200">
        <f>products!A197</f>
        <v>196</v>
      </c>
      <c r="B200" t="str">
        <f>products!B197</f>
        <v>Membership organisation services n.e.c. (91)</v>
      </c>
      <c r="C200" t="str">
        <f>products!C197</f>
        <v>p91</v>
      </c>
      <c r="D200" t="str">
        <f>products!D197</f>
        <v>C_ORGA</v>
      </c>
    </row>
    <row r="201" spans="1:4" x14ac:dyDescent="0.25">
      <c r="A201">
        <f>products!A198</f>
        <v>197</v>
      </c>
      <c r="B201" t="str">
        <f>products!B198</f>
        <v>Recreational, cultural and sporting services (92)</v>
      </c>
      <c r="C201" t="str">
        <f>products!C198</f>
        <v>p92</v>
      </c>
      <c r="D201" t="str">
        <f>products!D198</f>
        <v>C_RECR</v>
      </c>
    </row>
    <row r="202" spans="1:4" x14ac:dyDescent="0.25">
      <c r="A202">
        <f>products!A199</f>
        <v>198</v>
      </c>
      <c r="B202" t="str">
        <f>products!B199</f>
        <v>Other services (93)</v>
      </c>
      <c r="C202" t="str">
        <f>products!C199</f>
        <v>p93</v>
      </c>
      <c r="D202" t="str">
        <f>products!D199</f>
        <v>C_OSER</v>
      </c>
    </row>
    <row r="203" spans="1:4" x14ac:dyDescent="0.25">
      <c r="A203">
        <f>products!A200</f>
        <v>199</v>
      </c>
      <c r="B203" t="str">
        <f>products!B200</f>
        <v>Private households with employed persons (95)</v>
      </c>
      <c r="C203" t="str">
        <f>products!C200</f>
        <v>p95</v>
      </c>
      <c r="D203" t="str">
        <f>products!D200</f>
        <v>C_PRHH</v>
      </c>
    </row>
    <row r="204" spans="1:4" x14ac:dyDescent="0.25">
      <c r="A204">
        <f>products!A201</f>
        <v>200</v>
      </c>
      <c r="B204" t="str">
        <f>products!B201</f>
        <v>Extra-territorial organizations and bodies</v>
      </c>
      <c r="C204" t="str">
        <f>products!C201</f>
        <v>p99</v>
      </c>
      <c r="D204" t="str">
        <f>products!D201</f>
        <v>C_EXTO</v>
      </c>
    </row>
  </sheetData>
  <pageMargins left="0.7" right="0.7" top="0.75" bottom="0.75" header="0.51180555555555496" footer="0.51180555555555496"/>
  <pageSetup paperSize="9" firstPageNumber="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R216"/>
  <sheetViews>
    <sheetView topLeftCell="A253" zoomScaleNormal="100" workbookViewId="0">
      <selection activeCell="O51" activeCellId="30" sqref="B15:B16 B26 B59:B60 B62:C62 B88:C88 B99:C99 B106:C106 B108:C108 B110:C110 B112:C112 B114:C114 B116:B117 B123 B127 B133 B135 B138 B149:B151 B158 B161:B162 B170 B176:B191 B193:B196 B200 C17:C18 C60 C103 C116 C128 C152 O51"/>
    </sheetView>
  </sheetViews>
  <sheetFormatPr defaultRowHeight="15" x14ac:dyDescent="0.25"/>
  <cols>
    <col min="2" max="2" width="38.5703125"/>
  </cols>
  <sheetData>
    <row r="1" spans="1:174" x14ac:dyDescent="0.25">
      <c r="A1" t="s">
        <v>1236</v>
      </c>
      <c r="E1">
        <f t="array" ref="E1:FK4">TRANSPOSE(industries!A2:D164)</f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f t="array" ref="FL1:FR4">TRANSPOSE(finaldemand!A2:D8)</f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</row>
    <row r="2" spans="1:174" x14ac:dyDescent="0.25">
      <c r="B2" t="s">
        <v>1</v>
      </c>
      <c r="E2" t="str">
        <v>Cultivation of paddy rice</v>
      </c>
      <c r="F2" t="str">
        <v>Cultivation of wheat</v>
      </c>
      <c r="G2" t="str">
        <v>Cultivation of cereal grains nec</v>
      </c>
      <c r="H2" t="str">
        <v>Cultivation of vegetables, fruit, nuts</v>
      </c>
      <c r="I2" t="str">
        <v>Cultivation of oil seeds</v>
      </c>
      <c r="J2" t="str">
        <v>Cultivation of sugar cane, sugar beet</v>
      </c>
      <c r="K2" t="str">
        <v>Cultivation of plant-based fibers</v>
      </c>
      <c r="L2" t="str">
        <v>Cultivation of crops nec</v>
      </c>
      <c r="M2" t="str">
        <v>Cattle farming</v>
      </c>
      <c r="N2" t="str">
        <v>Pigs farming</v>
      </c>
      <c r="O2" t="str">
        <v>Poultry farming</v>
      </c>
      <c r="P2" t="str">
        <v>Meat animals nec</v>
      </c>
      <c r="Q2" t="str">
        <v>Animal products nec</v>
      </c>
      <c r="R2" t="str">
        <v>Raw milk</v>
      </c>
      <c r="S2" t="str">
        <v>Wool, silk-worm cocoons</v>
      </c>
      <c r="T2" t="str">
        <v>Manure treatment (conventional), storage and land application</v>
      </c>
      <c r="U2" t="str">
        <v>Manure treatment (biogas), storage and land application</v>
      </c>
      <c r="V2" t="str">
        <v>Forestry, logging and related service activities (02)</v>
      </c>
      <c r="W2" t="str">
        <v>Fishing, operating of fish hatcheries and fish farms; service activities incidental to fishing (05)</v>
      </c>
      <c r="X2" t="str">
        <v>Mining of coal and lignite; extraction of peat (10)</v>
      </c>
      <c r="Y2" t="str">
        <v>Extraction of crude petroleum and services related to crude oil extraction, excluding surveying</v>
      </c>
      <c r="Z2" t="str">
        <v>Extraction of natural gas and services related to natural gas extraction, excluding surveying</v>
      </c>
      <c r="AA2" t="str">
        <v>Extraction, liquefaction, and regasification of other petroleum and gaseous materials</v>
      </c>
      <c r="AB2" t="str">
        <v>Mining of uranium and thorium ores (12)</v>
      </c>
      <c r="AC2" t="str">
        <v>Mining of iron ores</v>
      </c>
      <c r="AD2" t="str">
        <v>Mining of copper ores and concentrates</v>
      </c>
      <c r="AE2" t="str">
        <v>Mining of nickel ores and concentrates</v>
      </c>
      <c r="AF2" t="str">
        <v>Mining of aluminium ores and concentrates</v>
      </c>
      <c r="AG2" t="str">
        <v>Mining of precious metal ores and concentrates</v>
      </c>
      <c r="AH2" t="str">
        <v>Mining of lead, zinc and tin ores and concentrates</v>
      </c>
      <c r="AI2" t="str">
        <v>Mining of other non-ferrous metal ores and concentrates</v>
      </c>
      <c r="AJ2" t="str">
        <v>Quarrying of stone</v>
      </c>
      <c r="AK2" t="str">
        <v>Quarrying of sand and clay</v>
      </c>
      <c r="AL2" t="str">
        <v>Mining of chemical and fertilizer minerals, production of salt, other mining and quarrying n.e.c.</v>
      </c>
      <c r="AM2" t="str">
        <v>Processing of meat cattle</v>
      </c>
      <c r="AN2" t="str">
        <v>Processing of meat pigs</v>
      </c>
      <c r="AO2" t="str">
        <v>Processing of meat poultry</v>
      </c>
      <c r="AP2" t="str">
        <v>Production of meat products nec</v>
      </c>
      <c r="AQ2" t="str">
        <v>Processing vegetable oils and fats</v>
      </c>
      <c r="AR2" t="str">
        <v>Processing of dairy products</v>
      </c>
      <c r="AS2" t="str">
        <v>Processed rice</v>
      </c>
      <c r="AT2" t="str">
        <v>Sugar refining</v>
      </c>
      <c r="AU2" t="str">
        <v>Processing of Food products nec</v>
      </c>
      <c r="AV2" t="str">
        <v>Manufacture of beverages</v>
      </c>
      <c r="AW2" t="str">
        <v>Manufacture of fish products</v>
      </c>
      <c r="AX2" t="str">
        <v>Manufacture of tobacco products (16)</v>
      </c>
      <c r="AY2" t="str">
        <v>Manufacture of textiles (17)</v>
      </c>
      <c r="AZ2" t="str">
        <v>Manufacture of wearing apparel; dressing and dyeing of fur (18)</v>
      </c>
      <c r="BA2" t="str">
        <v>Tanning and dressing of leather; manufacture of luggage, handbags, saddlery, harness and footwear (19)</v>
      </c>
      <c r="BB2" t="str">
        <v>Manufacture of wood and of products of wood and cork, except furniture; manufacture of articles of straw and plaiting materials (20)</v>
      </c>
      <c r="BC2" t="str">
        <v>Re-processing of secondary wood material into new wood material</v>
      </c>
      <c r="BD2" t="str">
        <v>Pulp</v>
      </c>
      <c r="BE2" t="str">
        <v>Re-processing of secondary paper into new pulp</v>
      </c>
      <c r="BF2" t="str">
        <v>Paper</v>
      </c>
      <c r="BG2" t="str">
        <v>Publishing, printing and reproduction of recorded media (22)</v>
      </c>
      <c r="BH2" t="str">
        <v>Manufacture of coke oven products</v>
      </c>
      <c r="BI2" t="str">
        <v>Petroleum Refinery</v>
      </c>
      <c r="BJ2" t="str">
        <v>Processing of nuclear fuel</v>
      </c>
      <c r="BK2" t="str">
        <v>Plastics, basic</v>
      </c>
      <c r="BL2" t="str">
        <v>Re-processing of secondary plastic into new plastic</v>
      </c>
      <c r="BM2" t="str">
        <v>N-fertiliser</v>
      </c>
      <c r="BN2" t="str">
        <v>P- and other fertiliser</v>
      </c>
      <c r="BO2" t="str">
        <v>Chemicals nec</v>
      </c>
      <c r="BP2" t="str">
        <v>Manufacture of rubber and plastic products (25)</v>
      </c>
      <c r="BQ2" t="str">
        <v>Manufacture of glass and glass products</v>
      </c>
      <c r="BR2" t="str">
        <v>Re-processing of secondary glass into new glass</v>
      </c>
      <c r="BS2" t="str">
        <v>Manufacture of ceramic goods</v>
      </c>
      <c r="BT2" t="str">
        <v>Manufacture of bricks, tiles and construction products, in baked clay</v>
      </c>
      <c r="BU2" t="str">
        <v>Manufacture of cement, lime and plaster</v>
      </c>
      <c r="BV2" t="str">
        <v>Re-processing of ash into clinker</v>
      </c>
      <c r="BW2" t="str">
        <v>Manufacture of other non-metallic mineral products n.e.c.</v>
      </c>
      <c r="BX2" t="str">
        <v>Manufacture of basic iron and steel and of ferro-alloys and first products thereof</v>
      </c>
      <c r="BY2" t="str">
        <v>Re-processing of secondary steel into new steel</v>
      </c>
      <c r="BZ2" t="str">
        <v>Precious metals production</v>
      </c>
      <c r="CA2" t="str">
        <v>Re-processing of secondary preciuos metals into new preciuos metals</v>
      </c>
      <c r="CB2" t="str">
        <v>Aluminium production</v>
      </c>
      <c r="CC2" t="str">
        <v>Re-processing of secondary aluminium into new aluminium</v>
      </c>
      <c r="CD2" t="str">
        <v>Lead, zinc and tin production</v>
      </c>
      <c r="CE2" t="str">
        <v>Re-processing of secondary lead into new lead, zinc and tin</v>
      </c>
      <c r="CF2" t="str">
        <v>Copper production</v>
      </c>
      <c r="CG2" t="str">
        <v>Re-processing of secondary copper into new copper</v>
      </c>
      <c r="CH2" t="str">
        <v>Other non-ferrous metal production</v>
      </c>
      <c r="CI2" t="str">
        <v>Re-processing of secondary other non-ferrous metals into new other non-ferrous metals</v>
      </c>
      <c r="CJ2" t="str">
        <v>Casting of metals</v>
      </c>
      <c r="CK2" t="str">
        <v>Manufacture of fabricated metal products, except machinery and equipment (28)</v>
      </c>
      <c r="CL2" t="str">
        <v>Manufacture of machinery and equipment n.e.c. (29)</v>
      </c>
      <c r="CM2" t="str">
        <v>Manufacture of office machinery and computers (30)</v>
      </c>
      <c r="CN2" t="str">
        <v>Manufacture of electrical machinery and apparatus n.e.c. (31)</v>
      </c>
      <c r="CO2" t="str">
        <v>Manufacture of radio, television and communication equipment and apparatus (32)</v>
      </c>
      <c r="CP2" t="str">
        <v>Manufacture of medical, precision and optical instruments, watches and clocks (33)</v>
      </c>
      <c r="CQ2" t="str">
        <v>Manufacture of motor vehicles, trailers and semi-trailers (34)</v>
      </c>
      <c r="CR2" t="str">
        <v>Manufacture of other transport equipment (35)</v>
      </c>
      <c r="CS2" t="str">
        <v>Manufacture of furniture; manufacturing n.e.c. (36)</v>
      </c>
      <c r="CT2" t="str">
        <v>Recycling of waste and scrap</v>
      </c>
      <c r="CU2" t="str">
        <v>Recycling of bottles by direct reuse</v>
      </c>
      <c r="CV2" t="str">
        <v>Production of electricity by coal</v>
      </c>
      <c r="CW2" t="str">
        <v>Production of electricity by gas</v>
      </c>
      <c r="CX2" t="str">
        <v>Production of electricity by nuclear</v>
      </c>
      <c r="CY2" t="str">
        <v>Production of electricity by hydro</v>
      </c>
      <c r="CZ2" t="str">
        <v>Production of electricity by wind</v>
      </c>
      <c r="DA2" t="str">
        <v>Production of electricity by petroleum and other oil derivatives</v>
      </c>
      <c r="DB2" t="str">
        <v>Production of electricity by biomass and waste</v>
      </c>
      <c r="DC2" t="str">
        <v>Production of electricity by solar photovoltaic</v>
      </c>
      <c r="DD2" t="str">
        <v>Production of electricity by solar thermal</v>
      </c>
      <c r="DE2" t="str">
        <v>Production of electricity by tide, wave, ocean</v>
      </c>
      <c r="DF2" t="str">
        <v>Production of electricity by Geothermal</v>
      </c>
      <c r="DG2" t="str">
        <v>Production of electricity nec</v>
      </c>
      <c r="DH2" t="str">
        <v>Transmission of electricity</v>
      </c>
      <c r="DI2" t="str">
        <v>Distribution and trade of electricity</v>
      </c>
      <c r="DJ2" t="str">
        <v>Manufacture of gas; distribution of gaseous fuels through mains</v>
      </c>
      <c r="DK2" t="str">
        <v>Steam and hot water supply</v>
      </c>
      <c r="DL2" t="str">
        <v>Collection, purification and distribution of water (41)</v>
      </c>
      <c r="DM2" t="str">
        <v>Construction (45)</v>
      </c>
      <c r="DN2" t="str">
        <v>Re-processing of secondary construction material into aggregates</v>
      </c>
      <c r="DO2" t="str">
        <v>Sale, maintenance, repair of motor vehicles, motor vehicles parts, motorcycles, motor cycles parts and accessoiries</v>
      </c>
      <c r="DP2" t="str">
        <v>Retail sale of automotive fuel</v>
      </c>
      <c r="DQ2" t="str">
        <v>Wholesale trade and commission trade, except of motor vehicles and motorcycles (51)</v>
      </c>
      <c r="DR2" t="str">
        <v>Retail trade, except of motor vehicles and motorcycles; repair of personal and household goods (52)</v>
      </c>
      <c r="DS2" t="str">
        <v>Hotels and restaurants (55)</v>
      </c>
      <c r="DT2" t="str">
        <v>Transport via railways</v>
      </c>
      <c r="DU2" t="str">
        <v>Other land transport</v>
      </c>
      <c r="DV2" t="str">
        <v>Transport via pipelines</v>
      </c>
      <c r="DW2" t="str">
        <v>Sea and coastal water transport</v>
      </c>
      <c r="DX2" t="str">
        <v>Inland water transport</v>
      </c>
      <c r="DY2" t="str">
        <v>Air transport (62)</v>
      </c>
      <c r="DZ2" t="str">
        <v>Supporting and auxiliary transport activities; activities of travel agencies (63)</v>
      </c>
      <c r="EA2" t="str">
        <v>Post and telecommunications (64)</v>
      </c>
      <c r="EB2" t="str">
        <v>Financial intermediation, except insurance and pension funding (65)</v>
      </c>
      <c r="EC2" t="str">
        <v>Insurance and pension funding, except compulsory social security (66)</v>
      </c>
      <c r="ED2" t="str">
        <v>Activities auxiliary to financial intermediation (67)</v>
      </c>
      <c r="EE2" t="str">
        <v>Real estate activities (70)</v>
      </c>
      <c r="EF2" t="str">
        <v>Renting of machinery and equipment without operator and of personal and household goods (71)</v>
      </c>
      <c r="EG2" t="str">
        <v>Computer and related activities (72)</v>
      </c>
      <c r="EH2" t="str">
        <v>Research and development (73)</v>
      </c>
      <c r="EI2" t="str">
        <v>Other business activities (74)</v>
      </c>
      <c r="EJ2" t="str">
        <v>Public administration and defence; compulsory social security (75)</v>
      </c>
      <c r="EK2" t="str">
        <v>Education (80)</v>
      </c>
      <c r="EL2" t="str">
        <v>Health and social work (85)</v>
      </c>
      <c r="EM2" t="str">
        <v>Incineration of waste: Food</v>
      </c>
      <c r="EN2" t="str">
        <v>Incineration of waste: Paper</v>
      </c>
      <c r="EO2" t="str">
        <v>Incineration of waste: Plastic</v>
      </c>
      <c r="EP2" t="str">
        <v>Incineration of waste: Metals and Inert materials</v>
      </c>
      <c r="EQ2" t="str">
        <v>Incineration of waste: Textiles</v>
      </c>
      <c r="ER2" t="str">
        <v>Incineration of waste: Wood</v>
      </c>
      <c r="ES2" t="str">
        <v>Incineration of waste: Oil/Hazardous waste</v>
      </c>
      <c r="ET2" t="str">
        <v>Biogasification of food waste, incl. land application</v>
      </c>
      <c r="EU2" t="str">
        <v>Biogasification of paper, incl. land application</v>
      </c>
      <c r="EV2" t="str">
        <v>Biogasification of sewage slugde, incl. land application</v>
      </c>
      <c r="EW2" t="str">
        <v>Composting of food waste, incl. land application</v>
      </c>
      <c r="EX2" t="str">
        <v>Composting of paper and wood, incl. land application</v>
      </c>
      <c r="EY2" t="str">
        <v>Waste water treatment, food</v>
      </c>
      <c r="EZ2" t="str">
        <v>Waste water treatment, other</v>
      </c>
      <c r="FA2" t="str">
        <v>Landfill of waste: Food</v>
      </c>
      <c r="FB2" t="str">
        <v>Landfill of waste: Paper</v>
      </c>
      <c r="FC2" t="str">
        <v>Landfill of waste: Plastic</v>
      </c>
      <c r="FD2" t="str">
        <v>Landfill of waste: Inert/metal/hazardous</v>
      </c>
      <c r="FE2" t="str">
        <v>Landfill of waste: Textiles</v>
      </c>
      <c r="FF2" t="str">
        <v>Landfill of waste: Wood</v>
      </c>
      <c r="FG2" t="str">
        <v>Activities of membership organisation n.e.c. (91)</v>
      </c>
      <c r="FH2" t="str">
        <v>Recreational, cultural and sporting activities (92)</v>
      </c>
      <c r="FI2" t="str">
        <v>Other service activities (93)</v>
      </c>
      <c r="FJ2" t="str">
        <v>Private households with employed persons (95)</v>
      </c>
      <c r="FK2" t="str">
        <v>Extra-territorial organizations and bodies</v>
      </c>
      <c r="FL2" t="str">
        <v>Final consumption expenditure by households</v>
      </c>
      <c r="FM2" t="str">
        <v>Final consumption expenditure by non-profit organisations serving households (NPISH)</v>
      </c>
      <c r="FN2" t="str">
        <v>Final consumption expenditure by government</v>
      </c>
      <c r="FO2" t="str">
        <v>Gross fixed capital formation</v>
      </c>
      <c r="FP2" t="str">
        <v>Changes in inventories</v>
      </c>
      <c r="FQ2" t="str">
        <v>Changes in valuables</v>
      </c>
      <c r="FR2" t="str">
        <v>Exports: Total (fob)</v>
      </c>
    </row>
    <row r="3" spans="1:174" x14ac:dyDescent="0.25">
      <c r="C3" t="s">
        <v>2</v>
      </c>
      <c r="E3" t="str">
        <v>i01.a</v>
      </c>
      <c r="F3" t="str">
        <v>i01.b</v>
      </c>
      <c r="G3" t="str">
        <v>i01.c</v>
      </c>
      <c r="H3" t="str">
        <v>i01.d</v>
      </c>
      <c r="I3" t="str">
        <v>i01.e</v>
      </c>
      <c r="J3" t="str">
        <v>i01.f</v>
      </c>
      <c r="K3" t="str">
        <v>i01.g</v>
      </c>
      <c r="L3" t="str">
        <v>i01.h</v>
      </c>
      <c r="M3" t="str">
        <v>i01.i</v>
      </c>
      <c r="N3" t="str">
        <v>i01.j</v>
      </c>
      <c r="O3" t="str">
        <v>i01.k</v>
      </c>
      <c r="P3" t="str">
        <v>i01.l</v>
      </c>
      <c r="Q3" t="str">
        <v>i01.m</v>
      </c>
      <c r="R3" t="str">
        <v>i01.n</v>
      </c>
      <c r="S3" t="str">
        <v>i01.o</v>
      </c>
      <c r="T3" t="str">
        <v>i01.w.1</v>
      </c>
      <c r="U3" t="str">
        <v>i01.w.2</v>
      </c>
      <c r="V3" t="str">
        <v>i02</v>
      </c>
      <c r="W3" t="str">
        <v>i05</v>
      </c>
      <c r="X3" t="str">
        <v>i10</v>
      </c>
      <c r="Y3" t="str">
        <v>i11.a</v>
      </c>
      <c r="Z3" t="str">
        <v>i11.b</v>
      </c>
      <c r="AA3" t="str">
        <v>i11.c</v>
      </c>
      <c r="AB3" t="str">
        <v>i12</v>
      </c>
      <c r="AC3" t="str">
        <v>i13.1</v>
      </c>
      <c r="AD3" t="str">
        <v>i13.20.11</v>
      </c>
      <c r="AE3" t="str">
        <v>i13.20.12</v>
      </c>
      <c r="AF3" t="str">
        <v>i13.20.13</v>
      </c>
      <c r="AG3" t="str">
        <v>i13.20.14</v>
      </c>
      <c r="AH3" t="str">
        <v>i13.20.15</v>
      </c>
      <c r="AI3" t="str">
        <v>i13.20.16</v>
      </c>
      <c r="AJ3" t="str">
        <v>i14.1</v>
      </c>
      <c r="AK3" t="str">
        <v>i14.2</v>
      </c>
      <c r="AL3" t="str">
        <v>i14.3</v>
      </c>
      <c r="AM3" t="str">
        <v>i15.a</v>
      </c>
      <c r="AN3" t="str">
        <v>i15.b</v>
      </c>
      <c r="AO3" t="str">
        <v>i15.c</v>
      </c>
      <c r="AP3" t="str">
        <v>i15.d</v>
      </c>
      <c r="AQ3" t="str">
        <v>i15.e</v>
      </c>
      <c r="AR3" t="str">
        <v>i15.f</v>
      </c>
      <c r="AS3" t="str">
        <v>i15.g</v>
      </c>
      <c r="AT3" t="str">
        <v>i15.h</v>
      </c>
      <c r="AU3" t="str">
        <v>i15.i</v>
      </c>
      <c r="AV3" t="str">
        <v>i15.j</v>
      </c>
      <c r="AW3" t="str">
        <v>i15.k</v>
      </c>
      <c r="AX3" t="str">
        <v>i16</v>
      </c>
      <c r="AY3" t="str">
        <v>i17</v>
      </c>
      <c r="AZ3" t="str">
        <v>i18</v>
      </c>
      <c r="BA3" t="str">
        <v>i19</v>
      </c>
      <c r="BB3" t="str">
        <v>i20</v>
      </c>
      <c r="BC3" t="str">
        <v>i20.w</v>
      </c>
      <c r="BD3" t="str">
        <v>i21.1</v>
      </c>
      <c r="BE3" t="str">
        <v>i21.w.1</v>
      </c>
      <c r="BF3" t="str">
        <v>i21.2</v>
      </c>
      <c r="BG3" t="str">
        <v>i22</v>
      </c>
      <c r="BH3" t="str">
        <v>i23.1</v>
      </c>
      <c r="BI3" t="str">
        <v>i23.2</v>
      </c>
      <c r="BJ3" t="str">
        <v>i23.3</v>
      </c>
      <c r="BK3" t="str">
        <v>i24.a</v>
      </c>
      <c r="BL3" t="str">
        <v>i24.a.w</v>
      </c>
      <c r="BM3" t="str">
        <v>i24.b</v>
      </c>
      <c r="BN3" t="str">
        <v>i24.c</v>
      </c>
      <c r="BO3" t="str">
        <v>i24.d</v>
      </c>
      <c r="BP3" t="str">
        <v>i25</v>
      </c>
      <c r="BQ3" t="str">
        <v>i26.a</v>
      </c>
      <c r="BR3" t="str">
        <v>i26.a.w</v>
      </c>
      <c r="BS3" t="str">
        <v>i26.b</v>
      </c>
      <c r="BT3" t="str">
        <v>i26.c</v>
      </c>
      <c r="BU3" t="str">
        <v>i26.d</v>
      </c>
      <c r="BV3" t="str">
        <v>i26.d.w</v>
      </c>
      <c r="BW3" t="str">
        <v>i26.e</v>
      </c>
      <c r="BX3" t="str">
        <v>i27.a</v>
      </c>
      <c r="BY3" t="str">
        <v>i27.a.w</v>
      </c>
      <c r="BZ3" t="str">
        <v>i27.41</v>
      </c>
      <c r="CA3" t="str">
        <v>i27.41.w</v>
      </c>
      <c r="CB3" t="str">
        <v>i27.42</v>
      </c>
      <c r="CC3" t="str">
        <v>i27.42.w</v>
      </c>
      <c r="CD3" t="str">
        <v>i27.43</v>
      </c>
      <c r="CE3" t="str">
        <v>i27.43.w</v>
      </c>
      <c r="CF3" t="str">
        <v>i27.44</v>
      </c>
      <c r="CG3" t="str">
        <v>i27.44.w</v>
      </c>
      <c r="CH3" t="str">
        <v>i27.45</v>
      </c>
      <c r="CI3" t="str">
        <v>i27.45.w</v>
      </c>
      <c r="CJ3" t="str">
        <v>i27.5</v>
      </c>
      <c r="CK3" t="str">
        <v>i28</v>
      </c>
      <c r="CL3" t="str">
        <v>i29</v>
      </c>
      <c r="CM3" t="str">
        <v>i30</v>
      </c>
      <c r="CN3" t="str">
        <v>i31</v>
      </c>
      <c r="CO3" t="str">
        <v>i32</v>
      </c>
      <c r="CP3" t="str">
        <v>i33</v>
      </c>
      <c r="CQ3" t="str">
        <v>i34</v>
      </c>
      <c r="CR3" t="str">
        <v>i35</v>
      </c>
      <c r="CS3" t="str">
        <v>i36</v>
      </c>
      <c r="CT3" t="str">
        <v>i37</v>
      </c>
      <c r="CU3" t="str">
        <v>i37.w.1</v>
      </c>
      <c r="CV3" t="str">
        <v>i40.11.a</v>
      </c>
      <c r="CW3" t="str">
        <v>i40.11.b</v>
      </c>
      <c r="CX3" t="str">
        <v>i40.11.c</v>
      </c>
      <c r="CY3" t="str">
        <v>i40.11.d</v>
      </c>
      <c r="CZ3" t="str">
        <v>i40.11.e</v>
      </c>
      <c r="DA3" t="str">
        <v>i40.11.f</v>
      </c>
      <c r="DB3" t="str">
        <v>i40.11.g</v>
      </c>
      <c r="DC3" t="str">
        <v>i40.11.h</v>
      </c>
      <c r="DD3" t="str">
        <v>i40.11.i</v>
      </c>
      <c r="DE3" t="str">
        <v>i40.11.j</v>
      </c>
      <c r="DF3" t="str">
        <v>i40.11.k</v>
      </c>
      <c r="DG3" t="str">
        <v>i40.11.l</v>
      </c>
      <c r="DH3" t="str">
        <v>i40.12</v>
      </c>
      <c r="DI3" t="str">
        <v>i40.13</v>
      </c>
      <c r="DJ3" t="str">
        <v>i40.2</v>
      </c>
      <c r="DK3" t="str">
        <v>i40.3</v>
      </c>
      <c r="DL3" t="str">
        <v>i41</v>
      </c>
      <c r="DM3" t="str">
        <v>i45</v>
      </c>
      <c r="DN3" t="str">
        <v>i45.w</v>
      </c>
      <c r="DO3" t="str">
        <v>i50.a</v>
      </c>
      <c r="DP3" t="str">
        <v>i50.b</v>
      </c>
      <c r="DQ3" t="str">
        <v>i51</v>
      </c>
      <c r="DR3" t="str">
        <v>i52</v>
      </c>
      <c r="DS3" t="str">
        <v>i55</v>
      </c>
      <c r="DT3" t="str">
        <v>i60.1</v>
      </c>
      <c r="DU3" t="str">
        <v>i60.2</v>
      </c>
      <c r="DV3" t="str">
        <v>i60.3</v>
      </c>
      <c r="DW3" t="str">
        <v>i61.1</v>
      </c>
      <c r="DX3" t="str">
        <v>i61.2</v>
      </c>
      <c r="DY3" t="str">
        <v>i62</v>
      </c>
      <c r="DZ3" t="str">
        <v>i63</v>
      </c>
      <c r="EA3" t="str">
        <v>i64</v>
      </c>
      <c r="EB3" t="str">
        <v>i65</v>
      </c>
      <c r="EC3" t="str">
        <v>i66</v>
      </c>
      <c r="ED3" t="str">
        <v>i67</v>
      </c>
      <c r="EE3" t="str">
        <v>i70</v>
      </c>
      <c r="EF3" t="str">
        <v>i71</v>
      </c>
      <c r="EG3" t="str">
        <v>i72</v>
      </c>
      <c r="EH3" t="str">
        <v>i73</v>
      </c>
      <c r="EI3" t="str">
        <v>i74</v>
      </c>
      <c r="EJ3" t="str">
        <v>i75</v>
      </c>
      <c r="EK3" t="str">
        <v>i80</v>
      </c>
      <c r="EL3" t="str">
        <v>i85</v>
      </c>
      <c r="EM3" t="str">
        <v>i90.1.a</v>
      </c>
      <c r="EN3" t="str">
        <v>i90.1.b</v>
      </c>
      <c r="EO3" t="str">
        <v>i90.1.c</v>
      </c>
      <c r="EP3" t="str">
        <v>i90.1.d</v>
      </c>
      <c r="EQ3" t="str">
        <v>i90.1.e</v>
      </c>
      <c r="ER3" t="str">
        <v>i90.1.f</v>
      </c>
      <c r="ES3" t="str">
        <v>i90.1.g</v>
      </c>
      <c r="ET3" t="str">
        <v>i90.2.a</v>
      </c>
      <c r="EU3" t="str">
        <v>i90.2.b</v>
      </c>
      <c r="EV3" t="str">
        <v>i90.2.c</v>
      </c>
      <c r="EW3" t="str">
        <v>i90.3.a</v>
      </c>
      <c r="EX3" t="str">
        <v>i90.3.b</v>
      </c>
      <c r="EY3" t="str">
        <v>i90.4.a</v>
      </c>
      <c r="EZ3" t="str">
        <v>i90.4.b</v>
      </c>
      <c r="FA3" t="str">
        <v>i90.5.a</v>
      </c>
      <c r="FB3" t="str">
        <v>i90.5.b</v>
      </c>
      <c r="FC3" t="str">
        <v>i90.5.c</v>
      </c>
      <c r="FD3" t="str">
        <v>i90.5.d</v>
      </c>
      <c r="FE3" t="str">
        <v>i90.5.e</v>
      </c>
      <c r="FF3" t="str">
        <v>i90.5.f</v>
      </c>
      <c r="FG3" t="str">
        <v>i91</v>
      </c>
      <c r="FH3" t="str">
        <v>i92</v>
      </c>
      <c r="FI3" t="str">
        <v>i93</v>
      </c>
      <c r="FJ3" t="str">
        <v>i95</v>
      </c>
      <c r="FK3" t="str">
        <v>i99</v>
      </c>
      <c r="FL3" t="str">
        <v>y01</v>
      </c>
      <c r="FM3" t="str">
        <v>y02.a</v>
      </c>
      <c r="FN3" t="str">
        <v>y02.b</v>
      </c>
      <c r="FO3" t="str">
        <v>y04</v>
      </c>
      <c r="FP3" t="str">
        <v>y05.a</v>
      </c>
      <c r="FQ3" t="str">
        <v>y05.b</v>
      </c>
      <c r="FR3" t="str">
        <v>y06</v>
      </c>
    </row>
    <row r="4" spans="1:174" x14ac:dyDescent="0.25">
      <c r="D4" t="s">
        <v>3</v>
      </c>
      <c r="E4" t="str">
        <v>A_PARI</v>
      </c>
      <c r="F4" t="str">
        <v>A_WHEA</v>
      </c>
      <c r="G4" t="str">
        <v>A_OCER</v>
      </c>
      <c r="H4" t="str">
        <v>A_FVEG</v>
      </c>
      <c r="I4" t="str">
        <v>A_OILS</v>
      </c>
      <c r="J4" t="str">
        <v>A_SUGB</v>
      </c>
      <c r="K4" t="str">
        <v>A_FIBR</v>
      </c>
      <c r="L4" t="str">
        <v>A_OTCR</v>
      </c>
      <c r="M4" t="str">
        <v>A_CATL</v>
      </c>
      <c r="N4" t="str">
        <v>A_PIGS</v>
      </c>
      <c r="O4" t="str">
        <v>A_PLTR</v>
      </c>
      <c r="P4" t="str">
        <v>A_OMEA</v>
      </c>
      <c r="Q4" t="str">
        <v>A_OANP</v>
      </c>
      <c r="R4" t="str">
        <v>A_MILK</v>
      </c>
      <c r="S4" t="str">
        <v>A_WOOL</v>
      </c>
      <c r="T4" t="str">
        <v>A_MANC</v>
      </c>
      <c r="U4" t="str">
        <v>A_MANB</v>
      </c>
      <c r="V4" t="str">
        <v>A_FORE</v>
      </c>
      <c r="W4" t="str">
        <v>A_FISH</v>
      </c>
      <c r="X4" t="str">
        <v>A_COAL</v>
      </c>
      <c r="Y4" t="str">
        <v>A_COIL</v>
      </c>
      <c r="Z4" t="str">
        <v>A_GASE</v>
      </c>
      <c r="AA4" t="str">
        <v>A_OGPL</v>
      </c>
      <c r="AB4" t="str">
        <v>A_ORAN</v>
      </c>
      <c r="AC4" t="str">
        <v>A_IRON</v>
      </c>
      <c r="AD4" t="str">
        <v>A_COPO</v>
      </c>
      <c r="AE4" t="str">
        <v>A_NIKO</v>
      </c>
      <c r="AF4" t="str">
        <v>A_ALUO</v>
      </c>
      <c r="AG4" t="str">
        <v>A_PREO</v>
      </c>
      <c r="AH4" t="str">
        <v>A_LZTO</v>
      </c>
      <c r="AI4" t="str">
        <v>A_ONFO</v>
      </c>
      <c r="AJ4" t="str">
        <v>A_STON</v>
      </c>
      <c r="AK4" t="str">
        <v>A_SDCL</v>
      </c>
      <c r="AL4" t="str">
        <v>A_CHMF</v>
      </c>
      <c r="AM4" t="str">
        <v>A_PCAT</v>
      </c>
      <c r="AN4" t="str">
        <v>A_PPIG</v>
      </c>
      <c r="AO4" t="str">
        <v>A_PPLT</v>
      </c>
      <c r="AP4" t="str">
        <v>A_POME</v>
      </c>
      <c r="AQ4" t="str">
        <v>A_VOIL</v>
      </c>
      <c r="AR4" t="str">
        <v>A_DAIR</v>
      </c>
      <c r="AS4" t="str">
        <v>A_RICE</v>
      </c>
      <c r="AT4" t="str">
        <v>A_SUGR</v>
      </c>
      <c r="AU4" t="str">
        <v>A_OFOD</v>
      </c>
      <c r="AV4" t="str">
        <v>A_BEVR</v>
      </c>
      <c r="AW4" t="str">
        <v>A_FSHP</v>
      </c>
      <c r="AX4" t="str">
        <v>A_TOBC</v>
      </c>
      <c r="AY4" t="str">
        <v>A_TEXT</v>
      </c>
      <c r="AZ4" t="str">
        <v>A_GARM</v>
      </c>
      <c r="BA4" t="str">
        <v>A_LETH</v>
      </c>
      <c r="BB4" t="str">
        <v>A_WOOD</v>
      </c>
      <c r="BC4" t="str">
        <v>A_WOOW</v>
      </c>
      <c r="BD4" t="str">
        <v>A_PULP</v>
      </c>
      <c r="BE4" t="str">
        <v>A_PAPR</v>
      </c>
      <c r="BF4" t="str">
        <v>A_PAPE</v>
      </c>
      <c r="BG4" t="str">
        <v>A_MDIA</v>
      </c>
      <c r="BH4" t="str">
        <v>A_COKE</v>
      </c>
      <c r="BI4" t="str">
        <v>A_REFN</v>
      </c>
      <c r="BJ4" t="str">
        <v>A_NUCF</v>
      </c>
      <c r="BK4" t="str">
        <v>A_PLAS</v>
      </c>
      <c r="BL4" t="str">
        <v>A_PLAW</v>
      </c>
      <c r="BM4" t="str">
        <v>A_NFER</v>
      </c>
      <c r="BN4" t="str">
        <v>A_PFER</v>
      </c>
      <c r="BO4" t="str">
        <v>A_CHEM</v>
      </c>
      <c r="BP4" t="str">
        <v>A_RUBP</v>
      </c>
      <c r="BQ4" t="str">
        <v>A_GLAS</v>
      </c>
      <c r="BR4" t="str">
        <v>A_GLAW</v>
      </c>
      <c r="BS4" t="str">
        <v>A_CRMC</v>
      </c>
      <c r="BT4" t="str">
        <v>A_BRIK</v>
      </c>
      <c r="BU4" t="str">
        <v>A_CMNT</v>
      </c>
      <c r="BV4" t="str">
        <v>A_ASHW</v>
      </c>
      <c r="BW4" t="str">
        <v>A_ONMM</v>
      </c>
      <c r="BX4" t="str">
        <v>A_STEL</v>
      </c>
      <c r="BY4" t="str">
        <v>A_STEW</v>
      </c>
      <c r="BZ4" t="str">
        <v>A_PREM</v>
      </c>
      <c r="CA4" t="str">
        <v>A_PREW</v>
      </c>
      <c r="CB4" t="str">
        <v>A_ALUM</v>
      </c>
      <c r="CC4" t="str">
        <v>A_ALUW</v>
      </c>
      <c r="CD4" t="str">
        <v>A_LZTP</v>
      </c>
      <c r="CE4" t="str">
        <v>A_LZTW</v>
      </c>
      <c r="CF4" t="str">
        <v>A_COPP</v>
      </c>
      <c r="CG4" t="str">
        <v>A_COPW</v>
      </c>
      <c r="CH4" t="str">
        <v>A_ONFM</v>
      </c>
      <c r="CI4" t="str">
        <v>A_ONFW</v>
      </c>
      <c r="CJ4" t="str">
        <v>A_METC</v>
      </c>
      <c r="CK4" t="str">
        <v>A_FABM</v>
      </c>
      <c r="CL4" t="str">
        <v>A_MACH</v>
      </c>
      <c r="CM4" t="str">
        <v>A_OFMA</v>
      </c>
      <c r="CN4" t="str">
        <v>A_ELMA</v>
      </c>
      <c r="CO4" t="str">
        <v>A_RATV</v>
      </c>
      <c r="CP4" t="str">
        <v>A_MEIN</v>
      </c>
      <c r="CQ4" t="str">
        <v>A_MOTO</v>
      </c>
      <c r="CR4" t="str">
        <v>A_OTRE</v>
      </c>
      <c r="CS4" t="str">
        <v>A_FURN</v>
      </c>
      <c r="CT4" t="str">
        <v>A_RYMS</v>
      </c>
      <c r="CU4" t="str">
        <v>A_BOTW</v>
      </c>
      <c r="CV4" t="str">
        <v>A_POWC</v>
      </c>
      <c r="CW4" t="str">
        <v>A_POWG</v>
      </c>
      <c r="CX4" t="str">
        <v>A_POWN</v>
      </c>
      <c r="CY4" t="str">
        <v>A_POWH</v>
      </c>
      <c r="CZ4" t="str">
        <v>A_POWW</v>
      </c>
      <c r="DA4" t="str">
        <v>A_POWP</v>
      </c>
      <c r="DB4" t="str">
        <v>A_POWB</v>
      </c>
      <c r="DC4" t="str">
        <v>A_POWS</v>
      </c>
      <c r="DD4" t="str">
        <v>A_POWE</v>
      </c>
      <c r="DE4" t="str">
        <v>A_POWO</v>
      </c>
      <c r="DF4" t="str">
        <v>A_POWM</v>
      </c>
      <c r="DG4" t="str">
        <v>A_POWZ</v>
      </c>
      <c r="DH4" t="str">
        <v>A_POWT</v>
      </c>
      <c r="DI4" t="str">
        <v>A_POWD</v>
      </c>
      <c r="DJ4" t="str">
        <v>A_GASD</v>
      </c>
      <c r="DK4" t="str">
        <v>A_HWAT</v>
      </c>
      <c r="DL4" t="str">
        <v>A_WATR</v>
      </c>
      <c r="DM4" t="str">
        <v>A_CONS</v>
      </c>
      <c r="DN4" t="str">
        <v>A_CONW</v>
      </c>
      <c r="DO4" t="str">
        <v>A_TDMO</v>
      </c>
      <c r="DP4" t="str">
        <v>A_TDFU</v>
      </c>
      <c r="DQ4" t="str">
        <v>A_TDWH</v>
      </c>
      <c r="DR4" t="str">
        <v>A_TDRT</v>
      </c>
      <c r="DS4" t="str">
        <v>A_HORE</v>
      </c>
      <c r="DT4" t="str">
        <v>A_TRAI</v>
      </c>
      <c r="DU4" t="str">
        <v>A_TLND</v>
      </c>
      <c r="DV4" t="str">
        <v>A_TPIP</v>
      </c>
      <c r="DW4" t="str">
        <v>A_TWAS</v>
      </c>
      <c r="DX4" t="str">
        <v>A_TWAI</v>
      </c>
      <c r="DY4" t="str">
        <v>A_TAIR</v>
      </c>
      <c r="DZ4" t="str">
        <v>A_TAUX</v>
      </c>
      <c r="EA4" t="str">
        <v>A_PTEL</v>
      </c>
      <c r="EB4" t="str">
        <v>A_FINT</v>
      </c>
      <c r="EC4" t="str">
        <v>A_FINS</v>
      </c>
      <c r="ED4" t="str">
        <v>A_FAUX</v>
      </c>
      <c r="EE4" t="str">
        <v>A_REAL</v>
      </c>
      <c r="EF4" t="str">
        <v>A_MARE</v>
      </c>
      <c r="EG4" t="str">
        <v>A_COMP</v>
      </c>
      <c r="EH4" t="str">
        <v>A_RESD</v>
      </c>
      <c r="EI4" t="str">
        <v>A_OBUS</v>
      </c>
      <c r="EJ4" t="str">
        <v>A_PADF</v>
      </c>
      <c r="EK4" t="str">
        <v>A_EDUC</v>
      </c>
      <c r="EL4" t="str">
        <v>A_HEAL</v>
      </c>
      <c r="EM4" t="str">
        <v>A_INCF</v>
      </c>
      <c r="EN4" t="str">
        <v>A_INCP</v>
      </c>
      <c r="EO4" t="str">
        <v>A_INCL</v>
      </c>
      <c r="EP4" t="str">
        <v>A_INCM</v>
      </c>
      <c r="EQ4" t="str">
        <v>A_INCT</v>
      </c>
      <c r="ER4" t="str">
        <v>A_INCW</v>
      </c>
      <c r="ES4" t="str">
        <v>A_INCO</v>
      </c>
      <c r="ET4" t="str">
        <v>A_BIOF</v>
      </c>
      <c r="EU4" t="str">
        <v>A_BIOP</v>
      </c>
      <c r="EV4" t="str">
        <v>A_BIOS</v>
      </c>
      <c r="EW4" t="str">
        <v>A_COMF</v>
      </c>
      <c r="EX4" t="str">
        <v>A_COMW</v>
      </c>
      <c r="EY4" t="str">
        <v>A_WASF</v>
      </c>
      <c r="EZ4" t="str">
        <v>A_WASO</v>
      </c>
      <c r="FA4" t="str">
        <v>A_LANF</v>
      </c>
      <c r="FB4" t="str">
        <v>A_LANP</v>
      </c>
      <c r="FC4" t="str">
        <v>A_LANL</v>
      </c>
      <c r="FD4" t="str">
        <v>A_LANI</v>
      </c>
      <c r="FE4" t="str">
        <v>A_LANT</v>
      </c>
      <c r="FF4" t="str">
        <v>A_LANW</v>
      </c>
      <c r="FG4" t="str">
        <v>A_ORGA</v>
      </c>
      <c r="FH4" t="str">
        <v>A_RECR</v>
      </c>
      <c r="FI4" t="str">
        <v>A_OSER</v>
      </c>
      <c r="FJ4" t="str">
        <v>A_PRHH</v>
      </c>
      <c r="FK4" t="str">
        <v>A_EXTO</v>
      </c>
      <c r="FL4" t="str">
        <v>F_HOUS</v>
      </c>
      <c r="FM4" t="str">
        <v>F_NPSH</v>
      </c>
      <c r="FN4" t="str">
        <v>F_GOVE</v>
      </c>
      <c r="FO4" t="str">
        <v>I_GFCF</v>
      </c>
      <c r="FP4" t="str">
        <v>I_CHIN</v>
      </c>
      <c r="FQ4" t="str">
        <v>I_CHVA</v>
      </c>
      <c r="FR4" t="str">
        <v>X_TOTA</v>
      </c>
    </row>
    <row r="5" spans="1:174" x14ac:dyDescent="0.25">
      <c r="A5">
        <f>products!A2</f>
        <v>1</v>
      </c>
      <c r="B5" t="str">
        <f>products!B2</f>
        <v>Paddy rice</v>
      </c>
      <c r="C5" t="str">
        <f>products!C2</f>
        <v>p01.a</v>
      </c>
      <c r="D5" t="str">
        <f>products!D2</f>
        <v>C_PARI</v>
      </c>
    </row>
    <row r="6" spans="1:174" x14ac:dyDescent="0.25">
      <c r="A6">
        <f>products!A3</f>
        <v>2</v>
      </c>
      <c r="B6" t="str">
        <f>products!B3</f>
        <v>Wheat</v>
      </c>
      <c r="C6" t="str">
        <f>products!C3</f>
        <v>p01.b</v>
      </c>
      <c r="D6" t="str">
        <f>products!D3</f>
        <v>C_WHEA</v>
      </c>
    </row>
    <row r="7" spans="1:174" x14ac:dyDescent="0.25">
      <c r="A7">
        <f>products!A4</f>
        <v>3</v>
      </c>
      <c r="B7" t="str">
        <f>products!B4</f>
        <v>Cereal grains nec</v>
      </c>
      <c r="C7" t="str">
        <f>products!C4</f>
        <v>p01.c</v>
      </c>
      <c r="D7" t="str">
        <f>products!D4</f>
        <v>C_OCER</v>
      </c>
    </row>
    <row r="8" spans="1:174" x14ac:dyDescent="0.25">
      <c r="A8">
        <f>products!A5</f>
        <v>4</v>
      </c>
      <c r="B8" t="str">
        <f>products!B5</f>
        <v>Vegetables, fruit, nuts</v>
      </c>
      <c r="C8" t="str">
        <f>products!C5</f>
        <v>p01.d</v>
      </c>
      <c r="D8" t="str">
        <f>products!D5</f>
        <v>C_FVEG</v>
      </c>
    </row>
    <row r="9" spans="1:174" x14ac:dyDescent="0.25">
      <c r="A9">
        <f>products!A6</f>
        <v>5</v>
      </c>
      <c r="B9" t="str">
        <f>products!B6</f>
        <v>Oil seeds</v>
      </c>
      <c r="C9" t="str">
        <f>products!C6</f>
        <v>p01.e</v>
      </c>
      <c r="D9" t="str">
        <f>products!D6</f>
        <v>C_OILS</v>
      </c>
    </row>
    <row r="10" spans="1:174" x14ac:dyDescent="0.25">
      <c r="A10">
        <f>products!A7</f>
        <v>6</v>
      </c>
      <c r="B10" t="str">
        <f>products!B7</f>
        <v>Sugar cane, sugar beet</v>
      </c>
      <c r="C10" t="str">
        <f>products!C7</f>
        <v>p01.f</v>
      </c>
      <c r="D10" t="str">
        <f>products!D7</f>
        <v>C_SUGB</v>
      </c>
    </row>
    <row r="11" spans="1:174" x14ac:dyDescent="0.25">
      <c r="A11">
        <f>products!A8</f>
        <v>7</v>
      </c>
      <c r="B11" t="str">
        <f>products!B8</f>
        <v>Plant-based fibers</v>
      </c>
      <c r="C11" t="str">
        <f>products!C8</f>
        <v>p01.g</v>
      </c>
      <c r="D11" t="str">
        <f>products!D8</f>
        <v>C_FIBR</v>
      </c>
    </row>
    <row r="12" spans="1:174" x14ac:dyDescent="0.25">
      <c r="A12">
        <f>products!A9</f>
        <v>8</v>
      </c>
      <c r="B12" t="str">
        <f>products!B9</f>
        <v>Crops nec</v>
      </c>
      <c r="C12" t="str">
        <f>products!C9</f>
        <v>p01.h</v>
      </c>
      <c r="D12" t="str">
        <f>products!D9</f>
        <v>C_OTCR</v>
      </c>
    </row>
    <row r="13" spans="1:174" x14ac:dyDescent="0.25">
      <c r="A13">
        <f>products!A10</f>
        <v>9</v>
      </c>
      <c r="B13" t="str">
        <f>products!B10</f>
        <v>Cattle</v>
      </c>
      <c r="C13" t="str">
        <f>products!C10</f>
        <v>p01.i</v>
      </c>
      <c r="D13" t="str">
        <f>products!D10</f>
        <v>C_CATL</v>
      </c>
    </row>
    <row r="14" spans="1:174" x14ac:dyDescent="0.25">
      <c r="A14">
        <f>products!A11</f>
        <v>10</v>
      </c>
      <c r="B14" t="str">
        <f>products!B11</f>
        <v>Pigs</v>
      </c>
      <c r="C14" t="str">
        <f>products!C11</f>
        <v>p01.j</v>
      </c>
      <c r="D14" t="str">
        <f>products!D11</f>
        <v>C_PIGS</v>
      </c>
    </row>
    <row r="15" spans="1:174" x14ac:dyDescent="0.25">
      <c r="A15">
        <f>products!A12</f>
        <v>11</v>
      </c>
      <c r="B15" t="str">
        <f>products!B12</f>
        <v>Poultry</v>
      </c>
      <c r="C15" t="str">
        <f>products!C12</f>
        <v>p01.k</v>
      </c>
      <c r="D15" t="str">
        <f>products!D12</f>
        <v>C_PLTR</v>
      </c>
    </row>
    <row r="16" spans="1:174" x14ac:dyDescent="0.25">
      <c r="A16">
        <f>products!A13</f>
        <v>12</v>
      </c>
      <c r="B16" t="str">
        <f>products!B13</f>
        <v>Meat animals nec</v>
      </c>
      <c r="C16" t="str">
        <f>products!C13</f>
        <v>p01.l</v>
      </c>
      <c r="D16" t="str">
        <f>products!D13</f>
        <v>C_OMEA</v>
      </c>
    </row>
    <row r="17" spans="1:4" x14ac:dyDescent="0.25">
      <c r="A17">
        <f>products!A14</f>
        <v>13</v>
      </c>
      <c r="B17" t="str">
        <f>products!B14</f>
        <v>Animal products nec</v>
      </c>
      <c r="C17" t="str">
        <f>products!C14</f>
        <v>p01.m</v>
      </c>
      <c r="D17" t="str">
        <f>products!D14</f>
        <v>C_OANP</v>
      </c>
    </row>
    <row r="18" spans="1:4" x14ac:dyDescent="0.25">
      <c r="A18">
        <f>products!A15</f>
        <v>14</v>
      </c>
      <c r="B18" t="str">
        <f>products!B15</f>
        <v>Raw milk</v>
      </c>
      <c r="C18" t="str">
        <f>products!C15</f>
        <v>p01.n</v>
      </c>
      <c r="D18" t="str">
        <f>products!D15</f>
        <v>C_MILK</v>
      </c>
    </row>
    <row r="19" spans="1:4" x14ac:dyDescent="0.25">
      <c r="A19">
        <f>products!A16</f>
        <v>15</v>
      </c>
      <c r="B19" t="str">
        <f>products!B16</f>
        <v>Wool, silk-worm cocoons</v>
      </c>
      <c r="C19" t="str">
        <f>products!C16</f>
        <v>p01.o</v>
      </c>
      <c r="D19" t="str">
        <f>products!D16</f>
        <v>C_WOOL</v>
      </c>
    </row>
    <row r="20" spans="1:4" x14ac:dyDescent="0.25">
      <c r="A20">
        <f>products!A17</f>
        <v>16</v>
      </c>
      <c r="B20" t="str">
        <f>products!B17</f>
        <v>Manure (conventional treatment)</v>
      </c>
      <c r="C20" t="str">
        <f>products!C17</f>
        <v>p01.w.1</v>
      </c>
      <c r="D20" t="str">
        <f>products!D17</f>
        <v>C_MANC</v>
      </c>
    </row>
    <row r="21" spans="1:4" x14ac:dyDescent="0.25">
      <c r="A21">
        <f>products!A18</f>
        <v>17</v>
      </c>
      <c r="B21" t="str">
        <f>products!B18</f>
        <v>Manure (biogas treatment)</v>
      </c>
      <c r="C21" t="str">
        <f>products!C18</f>
        <v>p01.w.2</v>
      </c>
      <c r="D21" t="str">
        <f>products!D18</f>
        <v>C_MANB</v>
      </c>
    </row>
    <row r="22" spans="1:4" x14ac:dyDescent="0.25">
      <c r="A22">
        <f>products!A19</f>
        <v>18</v>
      </c>
      <c r="B22" t="str">
        <f>products!B19</f>
        <v>Products of forestry, logging and related services (02)</v>
      </c>
      <c r="C22" t="str">
        <f>products!C19</f>
        <v>p02</v>
      </c>
      <c r="D22" t="str">
        <f>products!D19</f>
        <v>C_FORE</v>
      </c>
    </row>
    <row r="23" spans="1:4" x14ac:dyDescent="0.25">
      <c r="A23">
        <f>products!A20</f>
        <v>19</v>
      </c>
      <c r="B23" t="str">
        <f>products!B20</f>
        <v>Fish and other fishing products; services incidental of fishing (05)</v>
      </c>
      <c r="C23" t="str">
        <f>products!C20</f>
        <v>p05</v>
      </c>
      <c r="D23" t="str">
        <f>products!D20</f>
        <v>C_FISH</v>
      </c>
    </row>
    <row r="24" spans="1:4" x14ac:dyDescent="0.25">
      <c r="A24">
        <f>products!A21</f>
        <v>20</v>
      </c>
      <c r="B24" t="str">
        <f>products!B21</f>
        <v>Anthracite</v>
      </c>
      <c r="C24" t="str">
        <f>products!C21</f>
        <v>p10.a</v>
      </c>
      <c r="D24" t="str">
        <f>products!D21</f>
        <v>C_ANTH</v>
      </c>
    </row>
    <row r="25" spans="1:4" x14ac:dyDescent="0.25">
      <c r="A25">
        <f>products!A22</f>
        <v>21</v>
      </c>
      <c r="B25" t="str">
        <f>products!B22</f>
        <v>Coking Coal</v>
      </c>
      <c r="C25" t="str">
        <f>products!C22</f>
        <v>p10.b</v>
      </c>
      <c r="D25" t="str">
        <f>products!D22</f>
        <v>C_COKC</v>
      </c>
    </row>
    <row r="26" spans="1:4" x14ac:dyDescent="0.25">
      <c r="A26">
        <f>products!A23</f>
        <v>22</v>
      </c>
      <c r="B26" t="str">
        <f>products!B23</f>
        <v>Other Bituminous Coal</v>
      </c>
      <c r="C26" t="str">
        <f>products!C23</f>
        <v>p10.c</v>
      </c>
      <c r="D26" t="str">
        <f>products!D23</f>
        <v>C_OTBC</v>
      </c>
    </row>
    <row r="27" spans="1:4" x14ac:dyDescent="0.25">
      <c r="A27">
        <f>products!A24</f>
        <v>23</v>
      </c>
      <c r="B27" t="str">
        <f>products!B24</f>
        <v>Sub-Bituminous Coal</v>
      </c>
      <c r="C27" t="str">
        <f>products!C24</f>
        <v>p10.d</v>
      </c>
      <c r="D27" t="str">
        <f>products!D24</f>
        <v>C_SUBC</v>
      </c>
    </row>
    <row r="28" spans="1:4" x14ac:dyDescent="0.25">
      <c r="A28">
        <f>products!A25</f>
        <v>24</v>
      </c>
      <c r="B28" t="str">
        <f>products!B25</f>
        <v>Patent Fuel</v>
      </c>
      <c r="C28" t="str">
        <f>products!C25</f>
        <v>p10.e</v>
      </c>
      <c r="D28" t="str">
        <f>products!D25</f>
        <v>C_PATF</v>
      </c>
    </row>
    <row r="29" spans="1:4" x14ac:dyDescent="0.25">
      <c r="A29">
        <f>products!A26</f>
        <v>25</v>
      </c>
      <c r="B29" t="str">
        <f>products!B26</f>
        <v>Lignite/Brown Coal</v>
      </c>
      <c r="C29" t="str">
        <f>products!C26</f>
        <v>p10.f</v>
      </c>
      <c r="D29" t="str">
        <f>products!D26</f>
        <v>C_LIBC</v>
      </c>
    </row>
    <row r="30" spans="1:4" x14ac:dyDescent="0.25">
      <c r="A30">
        <f>products!A27</f>
        <v>26</v>
      </c>
      <c r="B30" t="str">
        <f>products!B27</f>
        <v>BKB/Peat Briquettes</v>
      </c>
      <c r="C30" t="str">
        <f>products!C27</f>
        <v>p10.g</v>
      </c>
      <c r="D30" t="str">
        <f>products!D27</f>
        <v>C_BKBP</v>
      </c>
    </row>
    <row r="31" spans="1:4" x14ac:dyDescent="0.25">
      <c r="A31">
        <f>products!A28</f>
        <v>27</v>
      </c>
      <c r="B31" t="str">
        <f>products!B28</f>
        <v>Peat</v>
      </c>
      <c r="C31" t="str">
        <f>products!C28</f>
        <v>p10.h</v>
      </c>
      <c r="D31" t="str">
        <f>products!D28</f>
        <v>C_PEAT</v>
      </c>
    </row>
    <row r="32" spans="1:4" x14ac:dyDescent="0.25">
      <c r="A32">
        <f>products!A29</f>
        <v>28</v>
      </c>
      <c r="B32" t="str">
        <f>products!B29</f>
        <v>Crude petroleum and services related to crude oil extraction, excluding surveying</v>
      </c>
      <c r="C32" t="str">
        <f>products!C29</f>
        <v>p11.a</v>
      </c>
      <c r="D32" t="str">
        <f>products!D29</f>
        <v>C_COIL</v>
      </c>
    </row>
    <row r="33" spans="1:4" x14ac:dyDescent="0.25">
      <c r="A33">
        <f>products!A30</f>
        <v>29</v>
      </c>
      <c r="B33" t="str">
        <f>products!B30</f>
        <v>Natural gas and services related to natural gas extraction, excluding surveying</v>
      </c>
      <c r="C33" t="str">
        <f>products!C30</f>
        <v>p11.b</v>
      </c>
      <c r="D33" t="str">
        <f>products!D30</f>
        <v>C_GASE</v>
      </c>
    </row>
    <row r="34" spans="1:4" x14ac:dyDescent="0.25">
      <c r="A34">
        <f>products!A31</f>
        <v>30</v>
      </c>
      <c r="B34" t="str">
        <f>products!B31</f>
        <v>Natural Gas Liquids</v>
      </c>
      <c r="C34" t="str">
        <f>products!C31</f>
        <v>p11.b.1</v>
      </c>
      <c r="D34" t="str">
        <f>products!D31</f>
        <v>C_GASL</v>
      </c>
    </row>
    <row r="35" spans="1:4" x14ac:dyDescent="0.25">
      <c r="A35">
        <f>products!A32</f>
        <v>31</v>
      </c>
      <c r="B35" t="str">
        <f>products!B32</f>
        <v>Other Hydrocarbons</v>
      </c>
      <c r="C35" t="str">
        <f>products!C32</f>
        <v>p11.c</v>
      </c>
      <c r="D35" t="str">
        <f>products!D32</f>
        <v>C_OGPL</v>
      </c>
    </row>
    <row r="36" spans="1:4" x14ac:dyDescent="0.25">
      <c r="A36">
        <f>products!A33</f>
        <v>32</v>
      </c>
      <c r="B36" t="str">
        <f>products!B33</f>
        <v>Uranium and thorium ores (12)</v>
      </c>
      <c r="C36" t="str">
        <f>products!C33</f>
        <v>p12</v>
      </c>
      <c r="D36" t="str">
        <f>products!D33</f>
        <v>C_ORAN</v>
      </c>
    </row>
    <row r="37" spans="1:4" x14ac:dyDescent="0.25">
      <c r="A37">
        <f>products!A34</f>
        <v>33</v>
      </c>
      <c r="B37" t="str">
        <f>products!B34</f>
        <v>Iron ores</v>
      </c>
      <c r="C37" t="str">
        <f>products!C34</f>
        <v>p13.1</v>
      </c>
      <c r="D37" t="str">
        <f>products!D34</f>
        <v>C_IRON</v>
      </c>
    </row>
    <row r="38" spans="1:4" x14ac:dyDescent="0.25">
      <c r="A38">
        <f>products!A35</f>
        <v>34</v>
      </c>
      <c r="B38" t="str">
        <f>products!B35</f>
        <v>Copper ores and concentrates</v>
      </c>
      <c r="C38" t="str">
        <f>products!C35</f>
        <v>p13.20.11</v>
      </c>
      <c r="D38" t="str">
        <f>products!D35</f>
        <v>C_COPO</v>
      </c>
    </row>
    <row r="39" spans="1:4" x14ac:dyDescent="0.25">
      <c r="A39">
        <f>products!A36</f>
        <v>35</v>
      </c>
      <c r="B39" t="str">
        <f>products!B36</f>
        <v>Nickel ores and concentrates</v>
      </c>
      <c r="C39" t="str">
        <f>products!C36</f>
        <v>p13.20.12</v>
      </c>
      <c r="D39" t="str">
        <f>products!D36</f>
        <v>C_NIKO</v>
      </c>
    </row>
    <row r="40" spans="1:4" x14ac:dyDescent="0.25">
      <c r="A40">
        <f>products!A37</f>
        <v>36</v>
      </c>
      <c r="B40" t="str">
        <f>products!B37</f>
        <v>Aluminium ores and concentrates</v>
      </c>
      <c r="C40" t="str">
        <f>products!C37</f>
        <v>p13.20.13</v>
      </c>
      <c r="D40" t="str">
        <f>products!D37</f>
        <v>C_ALUO</v>
      </c>
    </row>
    <row r="41" spans="1:4" x14ac:dyDescent="0.25">
      <c r="A41">
        <f>products!A38</f>
        <v>37</v>
      </c>
      <c r="B41" t="str">
        <f>products!B38</f>
        <v>Precious metal ores and concentrates</v>
      </c>
      <c r="C41" t="str">
        <f>products!C38</f>
        <v>p13.20.14</v>
      </c>
      <c r="D41" t="str">
        <f>products!D38</f>
        <v>C_PREO</v>
      </c>
    </row>
    <row r="42" spans="1:4" x14ac:dyDescent="0.25">
      <c r="A42">
        <f>products!A39</f>
        <v>38</v>
      </c>
      <c r="B42" t="str">
        <f>products!B39</f>
        <v>Lead, zinc and tin ores and concentrates</v>
      </c>
      <c r="C42" t="str">
        <f>products!C39</f>
        <v>p13.20.15</v>
      </c>
      <c r="D42" t="str">
        <f>products!D39</f>
        <v>C_LZTO</v>
      </c>
    </row>
    <row r="43" spans="1:4" x14ac:dyDescent="0.25">
      <c r="A43">
        <f>products!A40</f>
        <v>39</v>
      </c>
      <c r="B43" t="str">
        <f>products!B40</f>
        <v>Other non-ferrous metal ores and concentrates</v>
      </c>
      <c r="C43" t="str">
        <f>products!C40</f>
        <v>p13.20.16</v>
      </c>
      <c r="D43" t="str">
        <f>products!D40</f>
        <v>C_ONFO</v>
      </c>
    </row>
    <row r="44" spans="1:4" x14ac:dyDescent="0.25">
      <c r="A44">
        <f>products!A41</f>
        <v>40</v>
      </c>
      <c r="B44" t="str">
        <f>products!B41</f>
        <v>Stone</v>
      </c>
      <c r="C44" t="str">
        <f>products!C41</f>
        <v>p14.1</v>
      </c>
      <c r="D44" t="str">
        <f>products!D41</f>
        <v>C_STON</v>
      </c>
    </row>
    <row r="45" spans="1:4" x14ac:dyDescent="0.25">
      <c r="A45">
        <f>products!A42</f>
        <v>41</v>
      </c>
      <c r="B45" t="str">
        <f>products!B42</f>
        <v>Sand and clay</v>
      </c>
      <c r="C45" t="str">
        <f>products!C42</f>
        <v>p14.2</v>
      </c>
      <c r="D45" t="str">
        <f>products!D42</f>
        <v>C_SDCL</v>
      </c>
    </row>
    <row r="46" spans="1:4" x14ac:dyDescent="0.25">
      <c r="A46">
        <f>products!A43</f>
        <v>42</v>
      </c>
      <c r="B46" t="str">
        <f>products!B43</f>
        <v>Chemical and fertilizer minerals, salt and other mining and quarrying products n.e.c.</v>
      </c>
      <c r="C46" t="str">
        <f>products!C43</f>
        <v>p14.3</v>
      </c>
      <c r="D46" t="str">
        <f>products!D43</f>
        <v>C_CHMF</v>
      </c>
    </row>
    <row r="47" spans="1:4" x14ac:dyDescent="0.25">
      <c r="A47">
        <f>products!A44</f>
        <v>43</v>
      </c>
      <c r="B47" t="str">
        <f>products!B44</f>
        <v>Products of meat cattle</v>
      </c>
      <c r="C47" t="str">
        <f>products!C44</f>
        <v>p15.a</v>
      </c>
      <c r="D47" t="str">
        <f>products!D44</f>
        <v>C_PCAT</v>
      </c>
    </row>
    <row r="48" spans="1:4" x14ac:dyDescent="0.25">
      <c r="A48">
        <f>products!A45</f>
        <v>44</v>
      </c>
      <c r="B48" t="str">
        <f>products!B45</f>
        <v>Products of meat pigs</v>
      </c>
      <c r="C48" t="str">
        <f>products!C45</f>
        <v>p15.b</v>
      </c>
      <c r="D48" t="str">
        <f>products!D45</f>
        <v>C_PPIG</v>
      </c>
    </row>
    <row r="49" spans="1:4" x14ac:dyDescent="0.25">
      <c r="A49">
        <f>products!A46</f>
        <v>45</v>
      </c>
      <c r="B49" t="str">
        <f>products!B46</f>
        <v>Products of meat poultry</v>
      </c>
      <c r="C49" t="str">
        <f>products!C46</f>
        <v>p15.c</v>
      </c>
      <c r="D49" t="str">
        <f>products!D46</f>
        <v>C_PPLT</v>
      </c>
    </row>
    <row r="50" spans="1:4" x14ac:dyDescent="0.25">
      <c r="A50">
        <f>products!A47</f>
        <v>46</v>
      </c>
      <c r="B50" t="str">
        <f>products!B47</f>
        <v>Meat products nec</v>
      </c>
      <c r="C50" t="str">
        <f>products!C47</f>
        <v>p15.d</v>
      </c>
      <c r="D50" t="str">
        <f>products!D47</f>
        <v>C_POME</v>
      </c>
    </row>
    <row r="51" spans="1:4" x14ac:dyDescent="0.25">
      <c r="A51">
        <f>products!A48</f>
        <v>47</v>
      </c>
      <c r="B51" t="str">
        <f>products!B48</f>
        <v>products of Vegetable oils and fats</v>
      </c>
      <c r="C51" t="str">
        <f>products!C48</f>
        <v>p15.e</v>
      </c>
      <c r="D51" t="str">
        <f>products!D48</f>
        <v>C_VOIL</v>
      </c>
    </row>
    <row r="52" spans="1:4" x14ac:dyDescent="0.25">
      <c r="A52">
        <f>products!A49</f>
        <v>48</v>
      </c>
      <c r="B52" t="str">
        <f>products!B49</f>
        <v>Dairy products</v>
      </c>
      <c r="C52" t="str">
        <f>products!C49</f>
        <v>p15.f</v>
      </c>
      <c r="D52" t="str">
        <f>products!D49</f>
        <v>C_DAIR</v>
      </c>
    </row>
    <row r="53" spans="1:4" x14ac:dyDescent="0.25">
      <c r="A53">
        <f>products!A50</f>
        <v>49</v>
      </c>
      <c r="B53" t="str">
        <f>products!B50</f>
        <v>Processed rice</v>
      </c>
      <c r="C53" t="str">
        <f>products!C50</f>
        <v>p15.g</v>
      </c>
      <c r="D53" t="str">
        <f>products!D50</f>
        <v>C_RICE</v>
      </c>
    </row>
    <row r="54" spans="1:4" x14ac:dyDescent="0.25">
      <c r="A54">
        <f>products!A51</f>
        <v>50</v>
      </c>
      <c r="B54" t="str">
        <f>products!B51</f>
        <v>Sugar</v>
      </c>
      <c r="C54" t="str">
        <f>products!C51</f>
        <v>p15.h</v>
      </c>
      <c r="D54" t="str">
        <f>products!D51</f>
        <v>C_SUGR</v>
      </c>
    </row>
    <row r="55" spans="1:4" x14ac:dyDescent="0.25">
      <c r="A55">
        <f>products!A52</f>
        <v>51</v>
      </c>
      <c r="B55" t="str">
        <f>products!B52</f>
        <v>Food products nec</v>
      </c>
      <c r="C55" t="str">
        <f>products!C52</f>
        <v>p15.i</v>
      </c>
      <c r="D55" t="str">
        <f>products!D52</f>
        <v>C_OFOD</v>
      </c>
    </row>
    <row r="56" spans="1:4" x14ac:dyDescent="0.25">
      <c r="A56">
        <f>products!A53</f>
        <v>52</v>
      </c>
      <c r="B56" t="str">
        <f>products!B53</f>
        <v>Beverages</v>
      </c>
      <c r="C56" t="str">
        <f>products!C53</f>
        <v>p15.j</v>
      </c>
      <c r="D56" t="str">
        <f>products!D53</f>
        <v>C_BEVR</v>
      </c>
    </row>
    <row r="57" spans="1:4" x14ac:dyDescent="0.25">
      <c r="A57">
        <f>products!A54</f>
        <v>53</v>
      </c>
      <c r="B57" t="str">
        <f>products!B54</f>
        <v>Fish products</v>
      </c>
      <c r="C57" t="str">
        <f>products!C54</f>
        <v>p15.k</v>
      </c>
      <c r="D57" t="str">
        <f>products!D54</f>
        <v>C_FSHP</v>
      </c>
    </row>
    <row r="58" spans="1:4" x14ac:dyDescent="0.25">
      <c r="A58">
        <f>products!A55</f>
        <v>54</v>
      </c>
      <c r="B58" t="str">
        <f>products!B55</f>
        <v>Tobacco products (16)</v>
      </c>
      <c r="C58" t="str">
        <f>products!C55</f>
        <v>p16</v>
      </c>
      <c r="D58" t="str">
        <f>products!D55</f>
        <v>C_TOBC</v>
      </c>
    </row>
    <row r="59" spans="1:4" x14ac:dyDescent="0.25">
      <c r="A59">
        <f>products!A56</f>
        <v>55</v>
      </c>
      <c r="B59" t="str">
        <f>products!B56</f>
        <v>Textiles (17)</v>
      </c>
      <c r="C59" t="str">
        <f>products!C56</f>
        <v>p17</v>
      </c>
      <c r="D59" t="str">
        <f>products!D56</f>
        <v>C_TEXT</v>
      </c>
    </row>
    <row r="60" spans="1:4" x14ac:dyDescent="0.25">
      <c r="A60">
        <f>products!A57</f>
        <v>56</v>
      </c>
      <c r="B60" t="str">
        <f>products!B57</f>
        <v>Wearing apparel; furs (18)</v>
      </c>
      <c r="C60" t="str">
        <f>products!C57</f>
        <v>p18</v>
      </c>
      <c r="D60" t="str">
        <f>products!D57</f>
        <v>C_GARM</v>
      </c>
    </row>
    <row r="61" spans="1:4" x14ac:dyDescent="0.25">
      <c r="A61">
        <f>products!A58</f>
        <v>57</v>
      </c>
      <c r="B61" t="str">
        <f>products!B58</f>
        <v>Leather and leather products (19)</v>
      </c>
      <c r="C61" t="str">
        <f>products!C58</f>
        <v>p19</v>
      </c>
      <c r="D61" t="str">
        <f>products!D58</f>
        <v>C_LETH</v>
      </c>
    </row>
    <row r="62" spans="1:4" x14ac:dyDescent="0.25">
      <c r="A62">
        <f>products!A59</f>
        <v>58</v>
      </c>
      <c r="B62" t="str">
        <f>products!B59</f>
        <v>Wood and products of wood and cork (except furniture); articles of straw and plaiting materials (20)</v>
      </c>
      <c r="C62" t="str">
        <f>products!C59</f>
        <v>p20</v>
      </c>
      <c r="D62" t="str">
        <f>products!D59</f>
        <v>C_WOOD</v>
      </c>
    </row>
    <row r="63" spans="1:4" x14ac:dyDescent="0.25">
      <c r="A63">
        <f>products!A60</f>
        <v>59</v>
      </c>
      <c r="B63" t="str">
        <f>products!B60</f>
        <v>Wood material for treatment, Re-processing of secondary wood material into new wood material</v>
      </c>
      <c r="C63" t="str">
        <f>products!C60</f>
        <v>p20.w</v>
      </c>
      <c r="D63" t="str">
        <f>products!D60</f>
        <v>C_WOOW</v>
      </c>
    </row>
    <row r="64" spans="1:4" x14ac:dyDescent="0.25">
      <c r="A64">
        <f>products!A61</f>
        <v>60</v>
      </c>
      <c r="B64" t="str">
        <f>products!B61</f>
        <v>Pulp</v>
      </c>
      <c r="C64" t="str">
        <f>products!C61</f>
        <v>p21.1</v>
      </c>
      <c r="D64" t="str">
        <f>products!D61</f>
        <v>C_PULP</v>
      </c>
    </row>
    <row r="65" spans="1:4" x14ac:dyDescent="0.25">
      <c r="A65">
        <f>products!A62</f>
        <v>61</v>
      </c>
      <c r="B65" t="str">
        <f>products!B62</f>
        <v>Secondary paper for treatment, Re-processing of secondary paper into new pulp</v>
      </c>
      <c r="C65" t="str">
        <f>products!C62</f>
        <v>p21.w.1</v>
      </c>
      <c r="D65" t="str">
        <f>products!D62</f>
        <v>C_PAPR</v>
      </c>
    </row>
    <row r="66" spans="1:4" x14ac:dyDescent="0.25">
      <c r="A66">
        <f>products!A63</f>
        <v>62</v>
      </c>
      <c r="B66" t="str">
        <f>products!B63</f>
        <v>Paper and paper products</v>
      </c>
      <c r="C66" t="str">
        <f>products!C63</f>
        <v>p21.2</v>
      </c>
      <c r="D66" t="str">
        <f>products!D63</f>
        <v>C_PAPE</v>
      </c>
    </row>
    <row r="67" spans="1:4" x14ac:dyDescent="0.25">
      <c r="A67">
        <f>products!A64</f>
        <v>63</v>
      </c>
      <c r="B67" t="str">
        <f>products!B64</f>
        <v>Printed matter and recorded media (22)</v>
      </c>
      <c r="C67" t="str">
        <f>products!C64</f>
        <v>p22</v>
      </c>
      <c r="D67" t="str">
        <f>products!D64</f>
        <v>C_MDIA</v>
      </c>
    </row>
    <row r="68" spans="1:4" x14ac:dyDescent="0.25">
      <c r="A68">
        <f>products!A65</f>
        <v>64</v>
      </c>
      <c r="B68" t="str">
        <f>products!B65</f>
        <v>Coke Oven Coke</v>
      </c>
      <c r="C68" t="str">
        <f>products!C65</f>
        <v>p23.1.a</v>
      </c>
      <c r="D68" t="str">
        <f>products!D65</f>
        <v>C_COKE</v>
      </c>
    </row>
    <row r="69" spans="1:4" x14ac:dyDescent="0.25">
      <c r="A69">
        <f>products!A66</f>
        <v>65</v>
      </c>
      <c r="B69" t="str">
        <f>products!B66</f>
        <v>Gas Coke</v>
      </c>
      <c r="C69" t="str">
        <f>products!C66</f>
        <v>p23.1.b</v>
      </c>
      <c r="D69" t="str">
        <f>products!D66</f>
        <v>C_GCOK</v>
      </c>
    </row>
    <row r="70" spans="1:4" x14ac:dyDescent="0.25">
      <c r="A70">
        <f>products!A67</f>
        <v>66</v>
      </c>
      <c r="B70" t="str">
        <f>products!B67</f>
        <v>Coal Tar</v>
      </c>
      <c r="C70" t="str">
        <f>products!C67</f>
        <v>p23.1.c</v>
      </c>
      <c r="D70" t="str">
        <f>products!D67</f>
        <v>C_COTA</v>
      </c>
    </row>
    <row r="71" spans="1:4" x14ac:dyDescent="0.25">
      <c r="A71">
        <f>products!A68</f>
        <v>67</v>
      </c>
      <c r="B71" t="str">
        <f>products!B68</f>
        <v>Motor Gasoline</v>
      </c>
      <c r="C71" t="str">
        <f>products!C68</f>
        <v>p23.20.a</v>
      </c>
      <c r="D71" t="str">
        <f>products!D68</f>
        <v>C_MGSL</v>
      </c>
    </row>
    <row r="72" spans="1:4" x14ac:dyDescent="0.25">
      <c r="A72">
        <f>products!A69</f>
        <v>68</v>
      </c>
      <c r="B72" t="str">
        <f>products!B69</f>
        <v>Aviation Gasoline</v>
      </c>
      <c r="C72" t="str">
        <f>products!C69</f>
        <v>p23.20.b</v>
      </c>
      <c r="D72" t="str">
        <f>products!D69</f>
        <v>C_AGSL</v>
      </c>
    </row>
    <row r="73" spans="1:4" x14ac:dyDescent="0.25">
      <c r="A73">
        <f>products!A70</f>
        <v>69</v>
      </c>
      <c r="B73" t="str">
        <f>products!B70</f>
        <v>Gasoline Type Jet Fuel</v>
      </c>
      <c r="C73" t="str">
        <f>products!C70</f>
        <v>p23.20.c</v>
      </c>
      <c r="D73" t="str">
        <f>products!D70</f>
        <v>C_GJET</v>
      </c>
    </row>
    <row r="74" spans="1:4" x14ac:dyDescent="0.25">
      <c r="A74">
        <f>products!A71</f>
        <v>70</v>
      </c>
      <c r="B74" t="str">
        <f>products!B71</f>
        <v>Kerosene Type Jet Fuel</v>
      </c>
      <c r="C74" t="str">
        <f>products!C71</f>
        <v>p23.20.d</v>
      </c>
      <c r="D74" t="str">
        <f>products!D71</f>
        <v>C_KJET</v>
      </c>
    </row>
    <row r="75" spans="1:4" x14ac:dyDescent="0.25">
      <c r="A75">
        <f>products!A72</f>
        <v>71</v>
      </c>
      <c r="B75" t="str">
        <f>products!B72</f>
        <v>Kerosene</v>
      </c>
      <c r="C75" t="str">
        <f>products!C72</f>
        <v>p23.20.e</v>
      </c>
      <c r="D75" t="str">
        <f>products!D72</f>
        <v>C_KERO</v>
      </c>
    </row>
    <row r="76" spans="1:4" x14ac:dyDescent="0.25">
      <c r="A76">
        <f>products!A73</f>
        <v>72</v>
      </c>
      <c r="B76" t="str">
        <f>products!B73</f>
        <v>Gas/Diesel Oil</v>
      </c>
      <c r="C76" t="str">
        <f>products!C73</f>
        <v>p23.20.f</v>
      </c>
      <c r="D76" t="str">
        <f>products!D73</f>
        <v>C_DOIL</v>
      </c>
    </row>
    <row r="77" spans="1:4" x14ac:dyDescent="0.25">
      <c r="A77">
        <f>products!A74</f>
        <v>73</v>
      </c>
      <c r="B77" t="str">
        <f>products!B74</f>
        <v>Heavy Fuel Oil</v>
      </c>
      <c r="C77" t="str">
        <f>products!C74</f>
        <v>p23.20.g</v>
      </c>
      <c r="D77" t="str">
        <f>products!D74</f>
        <v>C_FOIL</v>
      </c>
    </row>
    <row r="78" spans="1:4" x14ac:dyDescent="0.25">
      <c r="A78">
        <f>products!A75</f>
        <v>74</v>
      </c>
      <c r="B78" t="str">
        <f>products!B75</f>
        <v>Refinery Gas</v>
      </c>
      <c r="C78" t="str">
        <f>products!C75</f>
        <v>p23.20.h</v>
      </c>
      <c r="D78" t="str">
        <f>products!D75</f>
        <v>C_RGAS</v>
      </c>
    </row>
    <row r="79" spans="1:4" x14ac:dyDescent="0.25">
      <c r="A79">
        <f>products!A76</f>
        <v>75</v>
      </c>
      <c r="B79" t="str">
        <f>products!B76</f>
        <v>Liquefied Petroleum Gases (LPG)</v>
      </c>
      <c r="C79" t="str">
        <f>products!C76</f>
        <v>p23.20.i</v>
      </c>
      <c r="D79" t="str">
        <f>products!D76</f>
        <v>C_LPGA</v>
      </c>
    </row>
    <row r="80" spans="1:4" x14ac:dyDescent="0.25">
      <c r="A80">
        <f>products!A77</f>
        <v>76</v>
      </c>
      <c r="B80" t="str">
        <f>products!B77</f>
        <v>Refinery Feedstocks</v>
      </c>
      <c r="C80" t="str">
        <f>products!C77</f>
        <v>p23.20.j</v>
      </c>
      <c r="D80" t="str">
        <f>products!D77</f>
        <v>C_REFF</v>
      </c>
    </row>
    <row r="81" spans="1:4" x14ac:dyDescent="0.25">
      <c r="A81">
        <f>products!A78</f>
        <v>77</v>
      </c>
      <c r="B81" t="str">
        <f>products!B78</f>
        <v>Ethane</v>
      </c>
      <c r="C81" t="str">
        <f>products!C78</f>
        <v>p23.20.k</v>
      </c>
      <c r="D81" t="str">
        <f>products!D78</f>
        <v>C_ETHA</v>
      </c>
    </row>
    <row r="82" spans="1:4" x14ac:dyDescent="0.25">
      <c r="A82">
        <f>products!A79</f>
        <v>78</v>
      </c>
      <c r="B82" t="str">
        <f>products!B79</f>
        <v>Naphtha</v>
      </c>
      <c r="C82" t="str">
        <f>products!C79</f>
        <v>p23.20.l</v>
      </c>
      <c r="D82" t="str">
        <f>products!D79</f>
        <v>C_NAPT</v>
      </c>
    </row>
    <row r="83" spans="1:4" x14ac:dyDescent="0.25">
      <c r="A83">
        <f>products!A80</f>
        <v>79</v>
      </c>
      <c r="B83" t="str">
        <f>products!B80</f>
        <v>White Spirit &amp; SBP</v>
      </c>
      <c r="C83" t="str">
        <f>products!C80</f>
        <v>p23.20.m</v>
      </c>
      <c r="D83" t="str">
        <f>products!D80</f>
        <v>C_WHSP</v>
      </c>
    </row>
    <row r="84" spans="1:4" x14ac:dyDescent="0.25">
      <c r="A84">
        <f>products!A81</f>
        <v>80</v>
      </c>
      <c r="B84" t="str">
        <f>products!B81</f>
        <v>Lubricants</v>
      </c>
      <c r="C84" t="str">
        <f>products!C81</f>
        <v>p23.20.n</v>
      </c>
      <c r="D84" t="str">
        <f>products!D81</f>
        <v>C_LUBR</v>
      </c>
    </row>
    <row r="85" spans="1:4" x14ac:dyDescent="0.25">
      <c r="A85">
        <f>products!A82</f>
        <v>81</v>
      </c>
      <c r="B85" t="str">
        <f>products!B82</f>
        <v>Bitumen</v>
      </c>
      <c r="C85" t="str">
        <f>products!C82</f>
        <v>p23.20.o</v>
      </c>
      <c r="D85" t="str">
        <f>products!D82</f>
        <v>C_BITU</v>
      </c>
    </row>
    <row r="86" spans="1:4" x14ac:dyDescent="0.25">
      <c r="A86">
        <f>products!A83</f>
        <v>82</v>
      </c>
      <c r="B86" t="str">
        <f>products!B83</f>
        <v>Paraffin Waxes</v>
      </c>
      <c r="C86" t="str">
        <f>products!C83</f>
        <v>p23.20.p</v>
      </c>
      <c r="D86" t="str">
        <f>products!D83</f>
        <v>C_PARW</v>
      </c>
    </row>
    <row r="87" spans="1:4" x14ac:dyDescent="0.25">
      <c r="A87">
        <f>products!A84</f>
        <v>83</v>
      </c>
      <c r="B87" t="str">
        <f>products!B84</f>
        <v>Petroleum Coke</v>
      </c>
      <c r="C87" t="str">
        <f>products!C84</f>
        <v>p23.20.q</v>
      </c>
      <c r="D87" t="str">
        <f>products!D84</f>
        <v>C_PETC</v>
      </c>
    </row>
    <row r="88" spans="1:4" x14ac:dyDescent="0.25">
      <c r="A88">
        <f>products!A85</f>
        <v>84</v>
      </c>
      <c r="B88" t="str">
        <f>products!B85</f>
        <v>Non-specified Petroleum Products</v>
      </c>
      <c r="C88" t="str">
        <f>products!C85</f>
        <v>p23.20.r</v>
      </c>
      <c r="D88" t="str">
        <f>products!D85</f>
        <v>C_NSPP</v>
      </c>
    </row>
    <row r="89" spans="1:4" x14ac:dyDescent="0.25">
      <c r="A89">
        <f>products!A86</f>
        <v>85</v>
      </c>
      <c r="B89" t="str">
        <f>products!B86</f>
        <v>Nuclear fuel</v>
      </c>
      <c r="C89" t="str">
        <f>products!C86</f>
        <v>p23.3</v>
      </c>
      <c r="D89" t="str">
        <f>products!D86</f>
        <v>C_NUCF</v>
      </c>
    </row>
    <row r="90" spans="1:4" x14ac:dyDescent="0.25">
      <c r="A90">
        <f>products!A87</f>
        <v>86</v>
      </c>
      <c r="B90" t="str">
        <f>products!B87</f>
        <v>Plastics, basic</v>
      </c>
      <c r="C90" t="str">
        <f>products!C87</f>
        <v>p24.a</v>
      </c>
      <c r="D90" t="str">
        <f>products!D87</f>
        <v>C_PLAS</v>
      </c>
    </row>
    <row r="91" spans="1:4" x14ac:dyDescent="0.25">
      <c r="A91">
        <f>products!A88</f>
        <v>87</v>
      </c>
      <c r="B91" t="str">
        <f>products!B88</f>
        <v>Secondary plastic for treatment, Re-processing of secondary plastic into new plastic</v>
      </c>
      <c r="C91" t="str">
        <f>products!C88</f>
        <v>p24.a.w</v>
      </c>
      <c r="D91" t="str">
        <f>products!D88</f>
        <v>C_PLAW</v>
      </c>
    </row>
    <row r="92" spans="1:4" x14ac:dyDescent="0.25">
      <c r="A92">
        <f>products!A89</f>
        <v>88</v>
      </c>
      <c r="B92" t="str">
        <f>products!B89</f>
        <v>N-fertiliser</v>
      </c>
      <c r="C92" t="str">
        <f>products!C89</f>
        <v>p24.b</v>
      </c>
      <c r="D92" t="str">
        <f>products!D89</f>
        <v>C_NFER</v>
      </c>
    </row>
    <row r="93" spans="1:4" x14ac:dyDescent="0.25">
      <c r="A93">
        <f>products!A90</f>
        <v>89</v>
      </c>
      <c r="B93" t="str">
        <f>products!B90</f>
        <v>P- and other fertiliser</v>
      </c>
      <c r="C93" t="str">
        <f>products!C90</f>
        <v>p24.c</v>
      </c>
      <c r="D93" t="str">
        <f>products!D90</f>
        <v>C_PFER</v>
      </c>
    </row>
    <row r="94" spans="1:4" x14ac:dyDescent="0.25">
      <c r="A94">
        <f>products!A91</f>
        <v>90</v>
      </c>
      <c r="B94" t="str">
        <f>products!B91</f>
        <v>Chemicals nec</v>
      </c>
      <c r="C94" t="str">
        <f>products!C91</f>
        <v>p24.d</v>
      </c>
      <c r="D94" t="str">
        <f>products!D91</f>
        <v>C_CHEM</v>
      </c>
    </row>
    <row r="95" spans="1:4" x14ac:dyDescent="0.25">
      <c r="A95">
        <f>products!A92</f>
        <v>91</v>
      </c>
      <c r="B95" t="str">
        <f>products!B92</f>
        <v>Charcoal</v>
      </c>
      <c r="C95" t="str">
        <f>products!C92</f>
        <v>p24.e</v>
      </c>
      <c r="D95" t="str">
        <f>products!D92</f>
        <v>C_CHAR</v>
      </c>
    </row>
    <row r="96" spans="1:4" x14ac:dyDescent="0.25">
      <c r="A96">
        <f>products!A93</f>
        <v>92</v>
      </c>
      <c r="B96" t="str">
        <f>products!B93</f>
        <v>Additives/Blending Components</v>
      </c>
      <c r="C96" t="str">
        <f>products!C93</f>
        <v>p24.f</v>
      </c>
      <c r="D96" t="str">
        <f>products!D93</f>
        <v>C_ADDC</v>
      </c>
    </row>
    <row r="97" spans="1:4" x14ac:dyDescent="0.25">
      <c r="A97">
        <f>products!A94</f>
        <v>93</v>
      </c>
      <c r="B97" t="str">
        <f>products!B94</f>
        <v>Biogasoline</v>
      </c>
      <c r="C97" t="str">
        <f>products!C94</f>
        <v>p24.g</v>
      </c>
      <c r="D97" t="str">
        <f>products!D94</f>
        <v>C_BIOG</v>
      </c>
    </row>
    <row r="98" spans="1:4" x14ac:dyDescent="0.25">
      <c r="A98">
        <f>products!A95</f>
        <v>94</v>
      </c>
      <c r="B98" t="str">
        <f>products!B95</f>
        <v>Biodiesels</v>
      </c>
      <c r="C98" t="str">
        <f>products!C95</f>
        <v>p24.h</v>
      </c>
      <c r="D98" t="str">
        <f>products!D95</f>
        <v>C_BIOD</v>
      </c>
    </row>
    <row r="99" spans="1:4" x14ac:dyDescent="0.25">
      <c r="A99">
        <f>products!A96</f>
        <v>95</v>
      </c>
      <c r="B99" t="str">
        <f>products!B96</f>
        <v>Other Liquid Biofuels</v>
      </c>
      <c r="C99" t="str">
        <f>products!C96</f>
        <v>p24.i</v>
      </c>
      <c r="D99" t="str">
        <f>products!D96</f>
        <v>C_OBIO</v>
      </c>
    </row>
    <row r="100" spans="1:4" x14ac:dyDescent="0.25">
      <c r="A100">
        <f>products!A97</f>
        <v>96</v>
      </c>
      <c r="B100" t="str">
        <f>products!B97</f>
        <v>Rubber and plastic products (25)</v>
      </c>
      <c r="C100" t="str">
        <f>products!C97</f>
        <v>p25</v>
      </c>
      <c r="D100" t="str">
        <f>products!D97</f>
        <v>C_RUBP</v>
      </c>
    </row>
    <row r="101" spans="1:4" x14ac:dyDescent="0.25">
      <c r="A101">
        <f>products!A98</f>
        <v>97</v>
      </c>
      <c r="B101" t="str">
        <f>products!B98</f>
        <v>Glass and glass products</v>
      </c>
      <c r="C101" t="str">
        <f>products!C98</f>
        <v>p26.a</v>
      </c>
      <c r="D101" t="str">
        <f>products!D98</f>
        <v>C_GLAS</v>
      </c>
    </row>
    <row r="102" spans="1:4" x14ac:dyDescent="0.25">
      <c r="A102">
        <f>products!A99</f>
        <v>98</v>
      </c>
      <c r="B102" t="str">
        <f>products!B99</f>
        <v>Secondary glass for treatment, Re-processing of secondary glass into new glass</v>
      </c>
      <c r="C102" t="str">
        <f>products!C99</f>
        <v>p26.a.w</v>
      </c>
      <c r="D102" t="str">
        <f>products!D99</f>
        <v>C_GLAW</v>
      </c>
    </row>
    <row r="103" spans="1:4" x14ac:dyDescent="0.25">
      <c r="A103">
        <f>products!A100</f>
        <v>99</v>
      </c>
      <c r="B103" t="str">
        <f>products!B100</f>
        <v>Ceramic goods</v>
      </c>
      <c r="C103" t="str">
        <f>products!C100</f>
        <v>p26.b</v>
      </c>
      <c r="D103" t="str">
        <f>products!D100</f>
        <v>C_CRMC</v>
      </c>
    </row>
    <row r="104" spans="1:4" x14ac:dyDescent="0.25">
      <c r="A104">
        <f>products!A101</f>
        <v>100</v>
      </c>
      <c r="B104" t="str">
        <f>products!B101</f>
        <v>Bricks, tiles and construction products, in baked clay</v>
      </c>
      <c r="C104" t="str">
        <f>products!C101</f>
        <v>p26.c</v>
      </c>
      <c r="D104" t="str">
        <f>products!D101</f>
        <v>C_BRIK</v>
      </c>
    </row>
    <row r="105" spans="1:4" x14ac:dyDescent="0.25">
      <c r="A105">
        <f>products!A102</f>
        <v>101</v>
      </c>
      <c r="B105" t="str">
        <f>products!B102</f>
        <v>Cement, lime and plaster</v>
      </c>
      <c r="C105" t="str">
        <f>products!C102</f>
        <v>p26.d</v>
      </c>
      <c r="D105" t="str">
        <f>products!D102</f>
        <v>C_CMNT</v>
      </c>
    </row>
    <row r="106" spans="1:4" x14ac:dyDescent="0.25">
      <c r="A106">
        <f>products!A103</f>
        <v>102</v>
      </c>
      <c r="B106" t="str">
        <f>products!B103</f>
        <v>Ash for treatment, Re-processing of ash into clinker</v>
      </c>
      <c r="C106" t="str">
        <f>products!C103</f>
        <v>p26.d.w</v>
      </c>
      <c r="D106" t="str">
        <f>products!D103</f>
        <v>C_ASHW</v>
      </c>
    </row>
    <row r="107" spans="1:4" x14ac:dyDescent="0.25">
      <c r="A107">
        <f>products!A104</f>
        <v>103</v>
      </c>
      <c r="B107" t="str">
        <f>products!B104</f>
        <v>Other non-metallic mineral products</v>
      </c>
      <c r="C107" t="str">
        <f>products!C104</f>
        <v>p26.e</v>
      </c>
      <c r="D107" t="str">
        <f>products!D104</f>
        <v>C_ONMM</v>
      </c>
    </row>
    <row r="108" spans="1:4" x14ac:dyDescent="0.25">
      <c r="A108">
        <f>products!A105</f>
        <v>104</v>
      </c>
      <c r="B108" t="str">
        <f>products!B105</f>
        <v>Basic iron and steel and of ferro-alloys and first products thereof</v>
      </c>
      <c r="C108" t="str">
        <f>products!C105</f>
        <v>p27.a</v>
      </c>
      <c r="D108" t="str">
        <f>products!D105</f>
        <v>C_STEL</v>
      </c>
    </row>
    <row r="109" spans="1:4" x14ac:dyDescent="0.25">
      <c r="A109">
        <f>products!A106</f>
        <v>105</v>
      </c>
      <c r="B109" t="str">
        <f>products!B106</f>
        <v>Secondary steel for treatment, Re-processing of secondary steel into new steel</v>
      </c>
      <c r="C109" t="str">
        <f>products!C106</f>
        <v>p27.a.w</v>
      </c>
      <c r="D109" t="str">
        <f>products!D106</f>
        <v>C_STEW</v>
      </c>
    </row>
    <row r="110" spans="1:4" x14ac:dyDescent="0.25">
      <c r="A110">
        <f>products!A107</f>
        <v>106</v>
      </c>
      <c r="B110" t="str">
        <f>products!B107</f>
        <v>Precious metals</v>
      </c>
      <c r="C110" t="str">
        <f>products!C107</f>
        <v>p27.41</v>
      </c>
      <c r="D110" t="str">
        <f>products!D107</f>
        <v>C_PREM</v>
      </c>
    </row>
    <row r="111" spans="1:4" x14ac:dyDescent="0.25">
      <c r="A111">
        <f>products!A108</f>
        <v>107</v>
      </c>
      <c r="B111" t="str">
        <f>products!B108</f>
        <v>Secondary preciuos metals for treatment, Re-processing of secondary preciuos metals into new preciuos metals</v>
      </c>
      <c r="C111" t="str">
        <f>products!C108</f>
        <v>p27.41.w</v>
      </c>
      <c r="D111" t="str">
        <f>products!D108</f>
        <v>C_PREW</v>
      </c>
    </row>
    <row r="112" spans="1:4" x14ac:dyDescent="0.25">
      <c r="A112">
        <f>products!A109</f>
        <v>108</v>
      </c>
      <c r="B112" t="str">
        <f>products!B109</f>
        <v>Aluminium and aluminium products</v>
      </c>
      <c r="C112" t="str">
        <f>products!C109</f>
        <v>p27.42</v>
      </c>
      <c r="D112" t="str">
        <f>products!D109</f>
        <v>C_ALUM</v>
      </c>
    </row>
    <row r="113" spans="1:4" x14ac:dyDescent="0.25">
      <c r="A113">
        <f>products!A110</f>
        <v>109</v>
      </c>
      <c r="B113" t="str">
        <f>products!B110</f>
        <v>Secondary aluminium for treatment, Re-processing of secondary aluminium into new aluminium</v>
      </c>
      <c r="C113" t="str">
        <f>products!C110</f>
        <v>p27.42.w</v>
      </c>
      <c r="D113" t="str">
        <f>products!D110</f>
        <v>C_ALUW</v>
      </c>
    </row>
    <row r="114" spans="1:4" x14ac:dyDescent="0.25">
      <c r="A114">
        <f>products!A111</f>
        <v>110</v>
      </c>
      <c r="B114" t="str">
        <f>products!B111</f>
        <v>Lead, zinc and tin and products thereof</v>
      </c>
      <c r="C114" t="str">
        <f>products!C111</f>
        <v>p27.43</v>
      </c>
      <c r="D114" t="str">
        <f>products!D111</f>
        <v>C_LZTP</v>
      </c>
    </row>
    <row r="115" spans="1:4" x14ac:dyDescent="0.25">
      <c r="A115">
        <f>products!A112</f>
        <v>111</v>
      </c>
      <c r="B115" t="str">
        <f>products!B112</f>
        <v>Secondary lead for treatment, Re-processing of secondary lead into new lead</v>
      </c>
      <c r="C115" t="str">
        <f>products!C112</f>
        <v>p27.43.w</v>
      </c>
      <c r="D115" t="str">
        <f>products!D112</f>
        <v>C_LZTW</v>
      </c>
    </row>
    <row r="116" spans="1:4" x14ac:dyDescent="0.25">
      <c r="A116">
        <f>products!A113</f>
        <v>112</v>
      </c>
      <c r="B116" t="str">
        <f>products!B113</f>
        <v>Copper products</v>
      </c>
      <c r="C116" t="str">
        <f>products!C113</f>
        <v>p27.44</v>
      </c>
      <c r="D116" t="str">
        <f>products!D113</f>
        <v>C_COPP</v>
      </c>
    </row>
    <row r="117" spans="1:4" x14ac:dyDescent="0.25">
      <c r="A117">
        <f>products!A114</f>
        <v>113</v>
      </c>
      <c r="B117" t="str">
        <f>products!B114</f>
        <v>Secondary copper for treatment, Re-processing of secondary copper into new copper</v>
      </c>
      <c r="C117" t="str">
        <f>products!C114</f>
        <v>p27.44.w</v>
      </c>
      <c r="D117" t="str">
        <f>products!D114</f>
        <v>C_COPW</v>
      </c>
    </row>
    <row r="118" spans="1:4" x14ac:dyDescent="0.25">
      <c r="A118">
        <f>products!A115</f>
        <v>114</v>
      </c>
      <c r="B118" t="str">
        <f>products!B115</f>
        <v>Other non-ferrous metal products</v>
      </c>
      <c r="C118" t="str">
        <f>products!C115</f>
        <v>p27.45</v>
      </c>
      <c r="D118" t="str">
        <f>products!D115</f>
        <v>C_ONFM</v>
      </c>
    </row>
    <row r="119" spans="1:4" x14ac:dyDescent="0.25">
      <c r="A119">
        <f>products!A116</f>
        <v>115</v>
      </c>
      <c r="B119" t="str">
        <f>products!B116</f>
        <v>Secondary other non-ferrous metals for treatment, Re-processing of secondary other non-ferrous metals into new other non-ferrous metals</v>
      </c>
      <c r="C119" t="str">
        <f>products!C116</f>
        <v>p27.45.w</v>
      </c>
      <c r="D119" t="str">
        <f>products!D116</f>
        <v>C_ONFW</v>
      </c>
    </row>
    <row r="120" spans="1:4" x14ac:dyDescent="0.25">
      <c r="A120">
        <f>products!A117</f>
        <v>116</v>
      </c>
      <c r="B120" t="str">
        <f>products!B117</f>
        <v>Foundry work services</v>
      </c>
      <c r="C120" t="str">
        <f>products!C117</f>
        <v>p27.5</v>
      </c>
      <c r="D120" t="str">
        <f>products!D117</f>
        <v>C_METC</v>
      </c>
    </row>
    <row r="121" spans="1:4" x14ac:dyDescent="0.25">
      <c r="A121">
        <f>products!A118</f>
        <v>117</v>
      </c>
      <c r="B121" t="str">
        <f>products!B118</f>
        <v>Fabricated metal products, except machinery and equipment (28)</v>
      </c>
      <c r="C121" t="str">
        <f>products!C118</f>
        <v>p28</v>
      </c>
      <c r="D121" t="str">
        <f>products!D118</f>
        <v>C_FABM</v>
      </c>
    </row>
    <row r="122" spans="1:4" x14ac:dyDescent="0.25">
      <c r="A122">
        <f>products!A119</f>
        <v>118</v>
      </c>
      <c r="B122" t="str">
        <f>products!B119</f>
        <v>Machinery and equipment n.e.c. (29)</v>
      </c>
      <c r="C122" t="str">
        <f>products!C119</f>
        <v>p29</v>
      </c>
      <c r="D122" t="str">
        <f>products!D119</f>
        <v>C_MACH</v>
      </c>
    </row>
    <row r="123" spans="1:4" x14ac:dyDescent="0.25">
      <c r="A123">
        <f>products!A120</f>
        <v>119</v>
      </c>
      <c r="B123" t="str">
        <f>products!B120</f>
        <v>Office machinery and computers (30)</v>
      </c>
      <c r="C123" t="str">
        <f>products!C120</f>
        <v>p30</v>
      </c>
      <c r="D123" t="str">
        <f>products!D120</f>
        <v>C_OFMA</v>
      </c>
    </row>
    <row r="124" spans="1:4" x14ac:dyDescent="0.25">
      <c r="A124">
        <f>products!A121</f>
        <v>120</v>
      </c>
      <c r="B124" t="str">
        <f>products!B121</f>
        <v>Electrical machinery and apparatus n.e.c. (31)</v>
      </c>
      <c r="C124" t="str">
        <f>products!C121</f>
        <v>p31</v>
      </c>
      <c r="D124" t="str">
        <f>products!D121</f>
        <v>C_ELMA</v>
      </c>
    </row>
    <row r="125" spans="1:4" x14ac:dyDescent="0.25">
      <c r="A125">
        <f>products!A122</f>
        <v>121</v>
      </c>
      <c r="B125" t="str">
        <f>products!B122</f>
        <v>Radio, television and communication equipment and apparatus (32)</v>
      </c>
      <c r="C125" t="str">
        <f>products!C122</f>
        <v>p32</v>
      </c>
      <c r="D125" t="str">
        <f>products!D122</f>
        <v>C_RATV</v>
      </c>
    </row>
    <row r="126" spans="1:4" x14ac:dyDescent="0.25">
      <c r="A126">
        <f>products!A123</f>
        <v>122</v>
      </c>
      <c r="B126" t="str">
        <f>products!B123</f>
        <v>Medical, precision and optical instruments, watches and clocks (33)</v>
      </c>
      <c r="C126" t="str">
        <f>products!C123</f>
        <v>p33</v>
      </c>
      <c r="D126" t="str">
        <f>products!D123</f>
        <v>C_MEIN</v>
      </c>
    </row>
    <row r="127" spans="1:4" x14ac:dyDescent="0.25">
      <c r="A127">
        <f>products!A124</f>
        <v>123</v>
      </c>
      <c r="B127" t="str">
        <f>products!B124</f>
        <v>Motor vehicles, trailers and semi-trailers (34)</v>
      </c>
      <c r="C127" t="str">
        <f>products!C124</f>
        <v>p34</v>
      </c>
      <c r="D127" t="str">
        <f>products!D124</f>
        <v>C_MOTO</v>
      </c>
    </row>
    <row r="128" spans="1:4" x14ac:dyDescent="0.25">
      <c r="A128">
        <f>products!A125</f>
        <v>124</v>
      </c>
      <c r="B128" t="str">
        <f>products!B125</f>
        <v>Other transport equipment (35)</v>
      </c>
      <c r="C128" t="str">
        <f>products!C125</f>
        <v>p35</v>
      </c>
      <c r="D128" t="str">
        <f>products!D125</f>
        <v>C_OTRE</v>
      </c>
    </row>
    <row r="129" spans="1:4" x14ac:dyDescent="0.25">
      <c r="A129">
        <f>products!A126</f>
        <v>125</v>
      </c>
      <c r="B129" t="str">
        <f>products!B126</f>
        <v>Furniture; other manufactured goods n.e.c. (36)</v>
      </c>
      <c r="C129" t="str">
        <f>products!C126</f>
        <v>p36</v>
      </c>
      <c r="D129" t="str">
        <f>products!D126</f>
        <v>C_FURN</v>
      </c>
    </row>
    <row r="130" spans="1:4" x14ac:dyDescent="0.25">
      <c r="A130">
        <f>products!A127</f>
        <v>126</v>
      </c>
      <c r="B130" t="str">
        <f>products!B127</f>
        <v>Secondary raw materials</v>
      </c>
      <c r="C130" t="str">
        <f>products!C127</f>
        <v>p37</v>
      </c>
      <c r="D130" t="str">
        <f>products!D127</f>
        <v>C_RYMS</v>
      </c>
    </row>
    <row r="131" spans="1:4" x14ac:dyDescent="0.25">
      <c r="A131">
        <f>products!A128</f>
        <v>127</v>
      </c>
      <c r="B131" t="str">
        <f>products!B128</f>
        <v>Bottles for treatment, Recycling of bottles by direct reuse</v>
      </c>
      <c r="C131" t="str">
        <f>products!C128</f>
        <v>p37.w.1</v>
      </c>
      <c r="D131" t="str">
        <f>products!D128</f>
        <v>C_BOTW</v>
      </c>
    </row>
    <row r="132" spans="1:4" x14ac:dyDescent="0.25">
      <c r="A132">
        <f>products!A129</f>
        <v>128</v>
      </c>
      <c r="B132" t="str">
        <f>products!B129</f>
        <v>Electricity by coal</v>
      </c>
      <c r="C132" t="str">
        <f>products!C129</f>
        <v>p40.11.a</v>
      </c>
      <c r="D132" t="str">
        <f>products!D129</f>
        <v>C_POWC</v>
      </c>
    </row>
    <row r="133" spans="1:4" x14ac:dyDescent="0.25">
      <c r="A133">
        <f>products!A130</f>
        <v>129</v>
      </c>
      <c r="B133" t="str">
        <f>products!B130</f>
        <v>Electricity by gas</v>
      </c>
      <c r="C133" t="str">
        <f>products!C130</f>
        <v>p40.11.b</v>
      </c>
      <c r="D133" t="str">
        <f>products!D130</f>
        <v>C_POWG</v>
      </c>
    </row>
    <row r="134" spans="1:4" x14ac:dyDescent="0.25">
      <c r="A134">
        <f>products!A131</f>
        <v>130</v>
      </c>
      <c r="B134" t="str">
        <f>products!B131</f>
        <v>Electricity by nuclear</v>
      </c>
      <c r="C134" t="str">
        <f>products!C131</f>
        <v>p40.11.c</v>
      </c>
      <c r="D134" t="str">
        <f>products!D131</f>
        <v>C_POWN</v>
      </c>
    </row>
    <row r="135" spans="1:4" x14ac:dyDescent="0.25">
      <c r="A135">
        <f>products!A132</f>
        <v>131</v>
      </c>
      <c r="B135" t="str">
        <f>products!B132</f>
        <v>Electricity by hydro</v>
      </c>
      <c r="C135" t="str">
        <f>products!C132</f>
        <v>p40.11.d</v>
      </c>
      <c r="D135" t="str">
        <f>products!D132</f>
        <v>C_POWH</v>
      </c>
    </row>
    <row r="136" spans="1:4" x14ac:dyDescent="0.25">
      <c r="A136">
        <f>products!A133</f>
        <v>132</v>
      </c>
      <c r="B136" t="str">
        <f>products!B133</f>
        <v>Electricity by wind</v>
      </c>
      <c r="C136" t="str">
        <f>products!C133</f>
        <v>p40.11.e</v>
      </c>
      <c r="D136" t="str">
        <f>products!D133</f>
        <v>C_POWW</v>
      </c>
    </row>
    <row r="137" spans="1:4" x14ac:dyDescent="0.25">
      <c r="A137">
        <f>products!A134</f>
        <v>133</v>
      </c>
      <c r="B137" t="str">
        <f>products!B134</f>
        <v>Electricity by petroleum and other oil derivatives</v>
      </c>
      <c r="C137" t="str">
        <f>products!C134</f>
        <v>p40.11.f</v>
      </c>
      <c r="D137" t="str">
        <f>products!D134</f>
        <v>C_POWP</v>
      </c>
    </row>
    <row r="138" spans="1:4" x14ac:dyDescent="0.25">
      <c r="A138">
        <f>products!A135</f>
        <v>134</v>
      </c>
      <c r="B138" t="str">
        <f>products!B135</f>
        <v>Electricity by biomass and waste</v>
      </c>
      <c r="C138" t="str">
        <f>products!C135</f>
        <v>p40.11.g</v>
      </c>
      <c r="D138" t="str">
        <f>products!D135</f>
        <v>C_POWB</v>
      </c>
    </row>
    <row r="139" spans="1:4" x14ac:dyDescent="0.25">
      <c r="A139">
        <f>products!A136</f>
        <v>135</v>
      </c>
      <c r="B139" t="str">
        <f>products!B136</f>
        <v>Electricity by solar photovoltaic</v>
      </c>
      <c r="C139" t="str">
        <f>products!C136</f>
        <v>p40.11.h</v>
      </c>
      <c r="D139" t="str">
        <f>products!D136</f>
        <v>C_POWS</v>
      </c>
    </row>
    <row r="140" spans="1:4" x14ac:dyDescent="0.25">
      <c r="A140">
        <f>products!A137</f>
        <v>136</v>
      </c>
      <c r="B140" t="str">
        <f>products!B137</f>
        <v>Electricity by solar thermal</v>
      </c>
      <c r="C140" t="str">
        <f>products!C137</f>
        <v>p40.11.i</v>
      </c>
      <c r="D140" t="str">
        <f>products!D137</f>
        <v>C_POWE</v>
      </c>
    </row>
    <row r="141" spans="1:4" x14ac:dyDescent="0.25">
      <c r="A141">
        <f>products!A138</f>
        <v>137</v>
      </c>
      <c r="B141" t="str">
        <f>products!B138</f>
        <v>Electricity by tide, wave, ocean</v>
      </c>
      <c r="C141" t="str">
        <f>products!C138</f>
        <v>p40.11.j</v>
      </c>
      <c r="D141" t="str">
        <f>products!D138</f>
        <v>C_POWO</v>
      </c>
    </row>
    <row r="142" spans="1:4" x14ac:dyDescent="0.25">
      <c r="A142">
        <f>products!A139</f>
        <v>138</v>
      </c>
      <c r="B142" t="str">
        <f>products!B139</f>
        <v>Electricity by Geothermal</v>
      </c>
      <c r="C142" t="str">
        <f>products!C139</f>
        <v>p40.11.k</v>
      </c>
      <c r="D142" t="str">
        <f>products!D139</f>
        <v>C_POWM</v>
      </c>
    </row>
    <row r="143" spans="1:4" x14ac:dyDescent="0.25">
      <c r="A143">
        <f>products!A140</f>
        <v>139</v>
      </c>
      <c r="B143" t="str">
        <f>products!B140</f>
        <v>Electricity nec</v>
      </c>
      <c r="C143" t="str">
        <f>products!C140</f>
        <v>p40.11.l</v>
      </c>
      <c r="D143" t="str">
        <f>products!D140</f>
        <v>C_POWZ</v>
      </c>
    </row>
    <row r="144" spans="1:4" x14ac:dyDescent="0.25">
      <c r="A144">
        <f>products!A141</f>
        <v>140</v>
      </c>
      <c r="B144" t="str">
        <f>products!B141</f>
        <v>Transmission services of electricity</v>
      </c>
      <c r="C144" t="str">
        <f>products!C141</f>
        <v>p40.12</v>
      </c>
      <c r="D144" t="str">
        <f>products!D141</f>
        <v>C_POWT</v>
      </c>
    </row>
    <row r="145" spans="1:4" x14ac:dyDescent="0.25">
      <c r="A145">
        <f>products!A142</f>
        <v>141</v>
      </c>
      <c r="B145" t="str">
        <f>products!B142</f>
        <v>Distribution and trade services of electricity</v>
      </c>
      <c r="C145" t="str">
        <f>products!C142</f>
        <v>p40.13</v>
      </c>
      <c r="D145" t="str">
        <f>products!D142</f>
        <v>C_POWD</v>
      </c>
    </row>
    <row r="146" spans="1:4" x14ac:dyDescent="0.25">
      <c r="A146">
        <f>products!A143</f>
        <v>142</v>
      </c>
      <c r="B146" t="str">
        <f>products!B143</f>
        <v>Coke oven gas</v>
      </c>
      <c r="C146" t="str">
        <f>products!C143</f>
        <v>p40.2.a</v>
      </c>
      <c r="D146" t="str">
        <f>products!D143</f>
        <v>C_COOG</v>
      </c>
    </row>
    <row r="147" spans="1:4" x14ac:dyDescent="0.25">
      <c r="A147">
        <f>products!A144</f>
        <v>143</v>
      </c>
      <c r="B147" t="str">
        <f>products!B144</f>
        <v>Blast Furnace Gas</v>
      </c>
      <c r="C147" t="str">
        <f>products!C144</f>
        <v>p40.2.b</v>
      </c>
      <c r="D147" t="str">
        <f>products!D144</f>
        <v>C_MBFG</v>
      </c>
    </row>
    <row r="148" spans="1:4" x14ac:dyDescent="0.25">
      <c r="A148">
        <f>products!A145</f>
        <v>144</v>
      </c>
      <c r="B148" t="str">
        <f>products!B145</f>
        <v>Oxygen Steel Furnace Gas</v>
      </c>
      <c r="C148" t="str">
        <f>products!C145</f>
        <v>p40.2.c</v>
      </c>
      <c r="D148" t="str">
        <f>products!D145</f>
        <v>C_MOSG</v>
      </c>
    </row>
    <row r="149" spans="1:4" x14ac:dyDescent="0.25">
      <c r="A149">
        <f>products!A146</f>
        <v>145</v>
      </c>
      <c r="B149" t="str">
        <f>products!B146</f>
        <v>Gas Works Gas</v>
      </c>
      <c r="C149" t="str">
        <f>products!C146</f>
        <v>p40.2.d</v>
      </c>
      <c r="D149" t="str">
        <f>products!D146</f>
        <v>C_MGWG</v>
      </c>
    </row>
    <row r="150" spans="1:4" x14ac:dyDescent="0.25">
      <c r="A150">
        <f>products!A147</f>
        <v>146</v>
      </c>
      <c r="B150" t="str">
        <f>products!B147</f>
        <v>Biogas</v>
      </c>
      <c r="C150" t="str">
        <f>products!C147</f>
        <v>p40.2.e</v>
      </c>
      <c r="D150" t="str">
        <f>products!D147</f>
        <v>C_MBIO</v>
      </c>
    </row>
    <row r="151" spans="1:4" x14ac:dyDescent="0.25">
      <c r="A151">
        <f>products!A148</f>
        <v>147</v>
      </c>
      <c r="B151" t="str">
        <f>products!B148</f>
        <v>Distribution services of gaseous fuels through mains</v>
      </c>
      <c r="C151" t="str">
        <f>products!C148</f>
        <v>p40.2.1</v>
      </c>
      <c r="D151" t="str">
        <f>products!D148</f>
        <v>C_GASD</v>
      </c>
    </row>
    <row r="152" spans="1:4" x14ac:dyDescent="0.25">
      <c r="A152">
        <f>products!A149</f>
        <v>148</v>
      </c>
      <c r="B152" t="str">
        <f>products!B149</f>
        <v>Steam and hot water supply services</v>
      </c>
      <c r="C152" t="str">
        <f>products!C149</f>
        <v>p40.3</v>
      </c>
      <c r="D152" t="str">
        <f>products!D149</f>
        <v>C_HWAT</v>
      </c>
    </row>
    <row r="153" spans="1:4" x14ac:dyDescent="0.25">
      <c r="A153">
        <f>products!A150</f>
        <v>149</v>
      </c>
      <c r="B153" t="str">
        <f>products!B150</f>
        <v>Collected and purified water, distribution services of water (41)</v>
      </c>
      <c r="C153" t="str">
        <f>products!C150</f>
        <v>p41</v>
      </c>
      <c r="D153" t="str">
        <f>products!D150</f>
        <v>C_WATR</v>
      </c>
    </row>
    <row r="154" spans="1:4" x14ac:dyDescent="0.25">
      <c r="A154">
        <f>products!A151</f>
        <v>150</v>
      </c>
      <c r="B154" t="str">
        <f>products!B151</f>
        <v>Construction work (45)</v>
      </c>
      <c r="C154" t="str">
        <f>products!C151</f>
        <v>p45</v>
      </c>
      <c r="D154" t="str">
        <f>products!D151</f>
        <v>C_CONS</v>
      </c>
    </row>
    <row r="155" spans="1:4" x14ac:dyDescent="0.25">
      <c r="A155">
        <f>products!A152</f>
        <v>151</v>
      </c>
      <c r="B155" t="str">
        <f>products!B152</f>
        <v>Secondary construction material for treatment, Re-processing of secondary construction material into aggregates</v>
      </c>
      <c r="C155" t="str">
        <f>products!C152</f>
        <v>p45.w</v>
      </c>
      <c r="D155" t="str">
        <f>products!D152</f>
        <v>C_CONW</v>
      </c>
    </row>
    <row r="156" spans="1:4" x14ac:dyDescent="0.25">
      <c r="A156">
        <f>products!A153</f>
        <v>152</v>
      </c>
      <c r="B156" t="str">
        <f>products!B153</f>
        <v>Sale, maintenance, repair of motor vehicles, motor vehicles parts, motorcycles, motor cycles parts and accessoiries</v>
      </c>
      <c r="C156" t="str">
        <f>products!C153</f>
        <v>p50.a</v>
      </c>
      <c r="D156" t="str">
        <f>products!D153</f>
        <v>C_TDMO</v>
      </c>
    </row>
    <row r="157" spans="1:4" x14ac:dyDescent="0.25">
      <c r="A157">
        <f>products!A154</f>
        <v>153</v>
      </c>
      <c r="B157" t="str">
        <f>products!B154</f>
        <v>Retail trade services of motor fuel</v>
      </c>
      <c r="C157" t="str">
        <f>products!C154</f>
        <v>p50.b</v>
      </c>
      <c r="D157" t="str">
        <f>products!D154</f>
        <v>C_TDFU</v>
      </c>
    </row>
    <row r="158" spans="1:4" x14ac:dyDescent="0.25">
      <c r="A158">
        <f>products!A155</f>
        <v>154</v>
      </c>
      <c r="B158" t="str">
        <f>products!B155</f>
        <v>Wholesale trade and commission trade services, except of motor vehicles and motorcycles (51)</v>
      </c>
      <c r="C158" t="str">
        <f>products!C155</f>
        <v>p51</v>
      </c>
      <c r="D158" t="str">
        <f>products!D155</f>
        <v>C_TDWH</v>
      </c>
    </row>
    <row r="159" spans="1:4" x14ac:dyDescent="0.25">
      <c r="A159">
        <f>products!A156</f>
        <v>155</v>
      </c>
      <c r="B159" t="str">
        <f>products!B156</f>
        <v>Retail  trade services, except of motor vehicles and motorcycles; repair services of personal and household goods (52)</v>
      </c>
      <c r="C159" t="str">
        <f>products!C156</f>
        <v>p52</v>
      </c>
      <c r="D159" t="str">
        <f>products!D156</f>
        <v>C_TDRT</v>
      </c>
    </row>
    <row r="160" spans="1:4" x14ac:dyDescent="0.25">
      <c r="A160">
        <f>products!A157</f>
        <v>156</v>
      </c>
      <c r="B160" t="str">
        <f>products!B157</f>
        <v>Hotel and restaurant services (55)</v>
      </c>
      <c r="C160" t="str">
        <f>products!C157</f>
        <v>p55</v>
      </c>
      <c r="D160" t="str">
        <f>products!D157</f>
        <v>C_HORE</v>
      </c>
    </row>
    <row r="161" spans="1:4" x14ac:dyDescent="0.25">
      <c r="A161">
        <f>products!A158</f>
        <v>157</v>
      </c>
      <c r="B161" t="str">
        <f>products!B158</f>
        <v>Railway transportation services</v>
      </c>
      <c r="C161" t="str">
        <f>products!C158</f>
        <v>p60.1</v>
      </c>
      <c r="D161" t="str">
        <f>products!D158</f>
        <v>C_TRAI</v>
      </c>
    </row>
    <row r="162" spans="1:4" x14ac:dyDescent="0.25">
      <c r="A162">
        <f>products!A159</f>
        <v>158</v>
      </c>
      <c r="B162" t="str">
        <f>products!B159</f>
        <v>Other land transportation services</v>
      </c>
      <c r="C162" t="str">
        <f>products!C159</f>
        <v>p60.2</v>
      </c>
      <c r="D162" t="str">
        <f>products!D159</f>
        <v>C_TLND</v>
      </c>
    </row>
    <row r="163" spans="1:4" x14ac:dyDescent="0.25">
      <c r="A163">
        <f>products!A160</f>
        <v>159</v>
      </c>
      <c r="B163" t="str">
        <f>products!B160</f>
        <v>Transportation services via pipelines</v>
      </c>
      <c r="C163" t="str">
        <f>products!C160</f>
        <v>p60.3</v>
      </c>
      <c r="D163" t="str">
        <f>products!D160</f>
        <v>C_TPIP</v>
      </c>
    </row>
    <row r="164" spans="1:4" x14ac:dyDescent="0.25">
      <c r="A164">
        <f>products!A161</f>
        <v>160</v>
      </c>
      <c r="B164" t="str">
        <f>products!B161</f>
        <v>Sea and coastal water transportation services</v>
      </c>
      <c r="C164" t="str">
        <f>products!C161</f>
        <v>p61.1</v>
      </c>
      <c r="D164" t="str">
        <f>products!D161</f>
        <v>C_TWAS</v>
      </c>
    </row>
    <row r="165" spans="1:4" x14ac:dyDescent="0.25">
      <c r="A165">
        <f>products!A162</f>
        <v>161</v>
      </c>
      <c r="B165" t="str">
        <f>products!B162</f>
        <v>Inland water transportation services</v>
      </c>
      <c r="C165" t="str">
        <f>products!C162</f>
        <v>p61.2</v>
      </c>
      <c r="D165" t="str">
        <f>products!D162</f>
        <v>C_TWAI</v>
      </c>
    </row>
    <row r="166" spans="1:4" x14ac:dyDescent="0.25">
      <c r="A166">
        <f>products!A163</f>
        <v>162</v>
      </c>
      <c r="B166" t="str">
        <f>products!B163</f>
        <v>Air transport services (62)</v>
      </c>
      <c r="C166" t="str">
        <f>products!C163</f>
        <v>p62</v>
      </c>
      <c r="D166" t="str">
        <f>products!D163</f>
        <v>C_TAIR</v>
      </c>
    </row>
    <row r="167" spans="1:4" x14ac:dyDescent="0.25">
      <c r="A167">
        <f>products!A164</f>
        <v>163</v>
      </c>
      <c r="B167" t="str">
        <f>products!B164</f>
        <v>Supporting and auxiliary transport services; travel agency services (63)</v>
      </c>
      <c r="C167" t="str">
        <f>products!C164</f>
        <v>p63</v>
      </c>
      <c r="D167" t="str">
        <f>products!D164</f>
        <v>C_TAUX</v>
      </c>
    </row>
    <row r="168" spans="1:4" x14ac:dyDescent="0.25">
      <c r="A168">
        <f>products!A165</f>
        <v>164</v>
      </c>
      <c r="B168" t="str">
        <f>products!B165</f>
        <v>Post and telecommunication services (64)</v>
      </c>
      <c r="C168" t="str">
        <f>products!C165</f>
        <v>p64</v>
      </c>
      <c r="D168" t="str">
        <f>products!D165</f>
        <v>C_PTEL</v>
      </c>
    </row>
    <row r="169" spans="1:4" x14ac:dyDescent="0.25">
      <c r="A169">
        <f>products!A166</f>
        <v>165</v>
      </c>
      <c r="B169" t="str">
        <f>products!B166</f>
        <v>Financial intermediation services, except insurance and pension funding services (65)</v>
      </c>
      <c r="C169" t="str">
        <f>products!C166</f>
        <v>p65</v>
      </c>
      <c r="D169" t="str">
        <f>products!D166</f>
        <v>C_FINT</v>
      </c>
    </row>
    <row r="170" spans="1:4" x14ac:dyDescent="0.25">
      <c r="A170">
        <f>products!A167</f>
        <v>166</v>
      </c>
      <c r="B170" t="str">
        <f>products!B167</f>
        <v>Insurance and pension funding services, except compulsory social security services (66)</v>
      </c>
      <c r="C170" t="str">
        <f>products!C167</f>
        <v>p66</v>
      </c>
      <c r="D170" t="str">
        <f>products!D167</f>
        <v>C_FINS</v>
      </c>
    </row>
    <row r="171" spans="1:4" x14ac:dyDescent="0.25">
      <c r="A171">
        <f>products!A168</f>
        <v>167</v>
      </c>
      <c r="B171" t="str">
        <f>products!B168</f>
        <v>Services auxiliary to financial intermediation (67)</v>
      </c>
      <c r="C171" t="str">
        <f>products!C168</f>
        <v>p67</v>
      </c>
      <c r="D171" t="str">
        <f>products!D168</f>
        <v>C_FAUX</v>
      </c>
    </row>
    <row r="172" spans="1:4" x14ac:dyDescent="0.25">
      <c r="A172">
        <f>products!A169</f>
        <v>168</v>
      </c>
      <c r="B172" t="str">
        <f>products!B169</f>
        <v>Real estate services (70)</v>
      </c>
      <c r="C172" t="str">
        <f>products!C169</f>
        <v>p70</v>
      </c>
      <c r="D172" t="str">
        <f>products!D169</f>
        <v>C_REAL</v>
      </c>
    </row>
    <row r="173" spans="1:4" x14ac:dyDescent="0.25">
      <c r="A173">
        <f>products!A170</f>
        <v>169</v>
      </c>
      <c r="B173" t="str">
        <f>products!B170</f>
        <v>Renting services of machinery and equipment without operator and of personal and household goods (71)</v>
      </c>
      <c r="C173" t="str">
        <f>products!C170</f>
        <v>p71</v>
      </c>
      <c r="D173" t="str">
        <f>products!D170</f>
        <v>C_MARE</v>
      </c>
    </row>
    <row r="174" spans="1:4" x14ac:dyDescent="0.25">
      <c r="A174">
        <f>products!A171</f>
        <v>170</v>
      </c>
      <c r="B174" t="str">
        <f>products!B171</f>
        <v>Computer and related services (72)</v>
      </c>
      <c r="C174" t="str">
        <f>products!C171</f>
        <v>p72</v>
      </c>
      <c r="D174" t="str">
        <f>products!D171</f>
        <v>C_COMP</v>
      </c>
    </row>
    <row r="175" spans="1:4" x14ac:dyDescent="0.25">
      <c r="A175">
        <f>products!A172</f>
        <v>171</v>
      </c>
      <c r="B175" t="str">
        <f>products!B172</f>
        <v>Research and development services (73)</v>
      </c>
      <c r="C175" t="str">
        <f>products!C172</f>
        <v>p73</v>
      </c>
      <c r="D175" t="str">
        <f>products!D172</f>
        <v>C_RESD</v>
      </c>
    </row>
    <row r="176" spans="1:4" x14ac:dyDescent="0.25">
      <c r="A176">
        <f>products!A173</f>
        <v>172</v>
      </c>
      <c r="B176" t="str">
        <f>products!B173</f>
        <v>Other business services (74)</v>
      </c>
      <c r="C176" t="str">
        <f>products!C173</f>
        <v>p74</v>
      </c>
      <c r="D176" t="str">
        <f>products!D173</f>
        <v>C_OBUS</v>
      </c>
    </row>
    <row r="177" spans="1:4" x14ac:dyDescent="0.25">
      <c r="A177">
        <f>products!A174</f>
        <v>173</v>
      </c>
      <c r="B177" t="str">
        <f>products!B174</f>
        <v>Public administration and defence services; compulsory social security services (75)</v>
      </c>
      <c r="C177" t="str">
        <f>products!C174</f>
        <v>p75</v>
      </c>
      <c r="D177" t="str">
        <f>products!D174</f>
        <v>C_PADF</v>
      </c>
    </row>
    <row r="178" spans="1:4" x14ac:dyDescent="0.25">
      <c r="A178">
        <f>products!A175</f>
        <v>174</v>
      </c>
      <c r="B178" t="str">
        <f>products!B175</f>
        <v>Education services (80)</v>
      </c>
      <c r="C178" t="str">
        <f>products!C175</f>
        <v>p80</v>
      </c>
      <c r="D178" t="str">
        <f>products!D175</f>
        <v>C_EDUC</v>
      </c>
    </row>
    <row r="179" spans="1:4" x14ac:dyDescent="0.25">
      <c r="A179">
        <f>products!A176</f>
        <v>175</v>
      </c>
      <c r="B179" t="str">
        <f>products!B176</f>
        <v>Health and social work services (85)</v>
      </c>
      <c r="C179" t="str">
        <f>products!C176</f>
        <v>p85</v>
      </c>
      <c r="D179" t="str">
        <f>products!D176</f>
        <v>C_HEAL</v>
      </c>
    </row>
    <row r="180" spans="1:4" x14ac:dyDescent="0.25">
      <c r="A180">
        <f>products!A177</f>
        <v>176</v>
      </c>
      <c r="B180" t="str">
        <f>products!B177</f>
        <v>Food waste for treatment: incineration</v>
      </c>
      <c r="C180" t="str">
        <f>products!C177</f>
        <v>p90.1.a</v>
      </c>
      <c r="D180" t="str">
        <f>products!D177</f>
        <v>C_INCF</v>
      </c>
    </row>
    <row r="181" spans="1:4" x14ac:dyDescent="0.25">
      <c r="A181">
        <f>products!A178</f>
        <v>177</v>
      </c>
      <c r="B181" t="str">
        <f>products!B178</f>
        <v>Paper waste for treatment: incineration</v>
      </c>
      <c r="C181" t="str">
        <f>products!C178</f>
        <v>p90.1.b</v>
      </c>
      <c r="D181" t="str">
        <f>products!D178</f>
        <v>C_INCP</v>
      </c>
    </row>
    <row r="182" spans="1:4" x14ac:dyDescent="0.25">
      <c r="A182">
        <f>products!A179</f>
        <v>178</v>
      </c>
      <c r="B182" t="str">
        <f>products!B179</f>
        <v>Plastic waste for treatment: incineration</v>
      </c>
      <c r="C182" t="str">
        <f>products!C179</f>
        <v>p90.1.c</v>
      </c>
      <c r="D182" t="str">
        <f>products!D179</f>
        <v>C_INCL</v>
      </c>
    </row>
    <row r="183" spans="1:4" x14ac:dyDescent="0.25">
      <c r="A183">
        <f>products!A180</f>
        <v>179</v>
      </c>
      <c r="B183" t="str">
        <f>products!B180</f>
        <v>Intert/metal waste for treatment: incineration</v>
      </c>
      <c r="C183" t="str">
        <f>products!C180</f>
        <v>p90.1.d</v>
      </c>
      <c r="D183" t="str">
        <f>products!D180</f>
        <v>C_INCM</v>
      </c>
    </row>
    <row r="184" spans="1:4" x14ac:dyDescent="0.25">
      <c r="A184">
        <f>products!A181</f>
        <v>180</v>
      </c>
      <c r="B184" t="str">
        <f>products!B181</f>
        <v>Textiles waste for treatment: incineration</v>
      </c>
      <c r="C184" t="str">
        <f>products!C181</f>
        <v>p90.1.e</v>
      </c>
      <c r="D184" t="str">
        <f>products!D181</f>
        <v>C_INCT</v>
      </c>
    </row>
    <row r="185" spans="1:4" x14ac:dyDescent="0.25">
      <c r="A185">
        <f>products!A182</f>
        <v>181</v>
      </c>
      <c r="B185" t="str">
        <f>products!B182</f>
        <v>Wood waste for treatment: incineration</v>
      </c>
      <c r="C185" t="str">
        <f>products!C182</f>
        <v>p90.1.f</v>
      </c>
      <c r="D185" t="str">
        <f>products!D182</f>
        <v>C_INCW</v>
      </c>
    </row>
    <row r="186" spans="1:4" x14ac:dyDescent="0.25">
      <c r="A186">
        <f>products!A183</f>
        <v>182</v>
      </c>
      <c r="B186" t="str">
        <f>products!B183</f>
        <v>Oil/hazardous waste for treatment: incineration</v>
      </c>
      <c r="C186" t="str">
        <f>products!C183</f>
        <v>p90.1.g</v>
      </c>
      <c r="D186" t="str">
        <f>products!D183</f>
        <v>C_INCO</v>
      </c>
    </row>
    <row r="187" spans="1:4" x14ac:dyDescent="0.25">
      <c r="A187">
        <f>products!A184</f>
        <v>183</v>
      </c>
      <c r="B187" t="str">
        <f>products!B184</f>
        <v>Food waste for treatment: biogasification and land application</v>
      </c>
      <c r="C187" t="str">
        <f>products!C184</f>
        <v>p90.2.a</v>
      </c>
      <c r="D187" t="str">
        <f>products!D184</f>
        <v>C_BIOF</v>
      </c>
    </row>
    <row r="188" spans="1:4" x14ac:dyDescent="0.25">
      <c r="A188">
        <f>products!A185</f>
        <v>184</v>
      </c>
      <c r="B188" t="str">
        <f>products!B185</f>
        <v>Paper waste for treatment: biogasification and land application</v>
      </c>
      <c r="C188" t="str">
        <f>products!C185</f>
        <v>p90.2.b</v>
      </c>
      <c r="D188" t="str">
        <f>products!D185</f>
        <v>C_BIOP</v>
      </c>
    </row>
    <row r="189" spans="1:4" x14ac:dyDescent="0.25">
      <c r="A189">
        <f>products!A186</f>
        <v>185</v>
      </c>
      <c r="B189" t="str">
        <f>products!B186</f>
        <v>Sewage sludge for treatment: biogasification and land application</v>
      </c>
      <c r="C189" t="str">
        <f>products!C186</f>
        <v>p90.2.c</v>
      </c>
      <c r="D189" t="str">
        <f>products!D186</f>
        <v>C_BIOS</v>
      </c>
    </row>
    <row r="190" spans="1:4" x14ac:dyDescent="0.25">
      <c r="A190">
        <f>products!A187</f>
        <v>186</v>
      </c>
      <c r="B190" t="str">
        <f>products!B187</f>
        <v>Food waste for treatment: composting and land application</v>
      </c>
      <c r="C190" t="str">
        <f>products!C187</f>
        <v>p90.3.a</v>
      </c>
      <c r="D190" t="str">
        <f>products!D187</f>
        <v>C_COMF</v>
      </c>
    </row>
    <row r="191" spans="1:4" x14ac:dyDescent="0.25">
      <c r="A191">
        <f>products!A188</f>
        <v>187</v>
      </c>
      <c r="B191" t="str">
        <f>products!B188</f>
        <v>Paper and wood waste for treatment: composting and land application</v>
      </c>
      <c r="C191" t="str">
        <f>products!C188</f>
        <v>p90.3.b</v>
      </c>
      <c r="D191" t="str">
        <f>products!D188</f>
        <v>C_COMW</v>
      </c>
    </row>
    <row r="192" spans="1:4" x14ac:dyDescent="0.25">
      <c r="A192">
        <f>products!A189</f>
        <v>188</v>
      </c>
      <c r="B192" t="str">
        <f>products!B189</f>
        <v>Food waste for treatment: waste water treatment</v>
      </c>
      <c r="C192" t="str">
        <f>products!C189</f>
        <v>p90.4.a</v>
      </c>
      <c r="D192" t="str">
        <f>products!D189</f>
        <v>C_WASF</v>
      </c>
    </row>
    <row r="193" spans="1:4" x14ac:dyDescent="0.25">
      <c r="A193">
        <f>products!A190</f>
        <v>189</v>
      </c>
      <c r="B193" t="str">
        <f>products!B190</f>
        <v>Other waste for treatment: waste water treatment</v>
      </c>
      <c r="C193" t="str">
        <f>products!C190</f>
        <v>p90.4.b</v>
      </c>
      <c r="D193" t="str">
        <f>products!D190</f>
        <v>C_WASO</v>
      </c>
    </row>
    <row r="194" spans="1:4" x14ac:dyDescent="0.25">
      <c r="A194">
        <f>products!A191</f>
        <v>190</v>
      </c>
      <c r="B194" t="str">
        <f>products!B191</f>
        <v>Food waste for treatment: landfill</v>
      </c>
      <c r="C194" t="str">
        <f>products!C191</f>
        <v>p90.5.a</v>
      </c>
      <c r="D194" t="str">
        <f>products!D191</f>
        <v>C_LANF</v>
      </c>
    </row>
    <row r="195" spans="1:4" x14ac:dyDescent="0.25">
      <c r="A195">
        <f>products!A192</f>
        <v>191</v>
      </c>
      <c r="B195" t="str">
        <f>products!B192</f>
        <v>Paper for treatment: landfill</v>
      </c>
      <c r="C195" t="str">
        <f>products!C192</f>
        <v>p90.5.b</v>
      </c>
      <c r="D195" t="str">
        <f>products!D192</f>
        <v>C_LANP</v>
      </c>
    </row>
    <row r="196" spans="1:4" x14ac:dyDescent="0.25">
      <c r="A196">
        <f>products!A193</f>
        <v>192</v>
      </c>
      <c r="B196" t="str">
        <f>products!B193</f>
        <v>Plastic waste for treatment: landfill</v>
      </c>
      <c r="C196" t="str">
        <f>products!C193</f>
        <v>p90.5.c</v>
      </c>
      <c r="D196" t="str">
        <f>products!D193</f>
        <v>C_LANL</v>
      </c>
    </row>
    <row r="197" spans="1:4" x14ac:dyDescent="0.25">
      <c r="A197">
        <f>products!A194</f>
        <v>193</v>
      </c>
      <c r="B197" t="str">
        <f>products!B194</f>
        <v>Inert/metal/hazardous waste for treatment: landfill</v>
      </c>
      <c r="C197" t="str">
        <f>products!C194</f>
        <v>p90.5.d</v>
      </c>
      <c r="D197" t="str">
        <f>products!D194</f>
        <v>C_LANI</v>
      </c>
    </row>
    <row r="198" spans="1:4" x14ac:dyDescent="0.25">
      <c r="A198">
        <f>products!A195</f>
        <v>194</v>
      </c>
      <c r="B198" t="str">
        <f>products!B195</f>
        <v>Textiles waste for treatment: landfill</v>
      </c>
      <c r="C198" t="str">
        <f>products!C195</f>
        <v>p90.5.e</v>
      </c>
      <c r="D198" t="str">
        <f>products!D195</f>
        <v>C_LANT</v>
      </c>
    </row>
    <row r="199" spans="1:4" x14ac:dyDescent="0.25">
      <c r="A199">
        <f>products!A196</f>
        <v>195</v>
      </c>
      <c r="B199" t="str">
        <f>products!B196</f>
        <v>Wood waste for treatment: landfill</v>
      </c>
      <c r="C199" t="str">
        <f>products!C196</f>
        <v>p90.5.f</v>
      </c>
      <c r="D199" t="str">
        <f>products!D196</f>
        <v>C_LANW</v>
      </c>
    </row>
    <row r="200" spans="1:4" x14ac:dyDescent="0.25">
      <c r="A200">
        <f>products!A197</f>
        <v>196</v>
      </c>
      <c r="B200" t="str">
        <f>products!B197</f>
        <v>Membership organisation services n.e.c. (91)</v>
      </c>
      <c r="C200" t="str">
        <f>products!C197</f>
        <v>p91</v>
      </c>
      <c r="D200" t="str">
        <f>products!D197</f>
        <v>C_ORGA</v>
      </c>
    </row>
    <row r="201" spans="1:4" x14ac:dyDescent="0.25">
      <c r="A201">
        <f>products!A198</f>
        <v>197</v>
      </c>
      <c r="B201" t="str">
        <f>products!B198</f>
        <v>Recreational, cultural and sporting services (92)</v>
      </c>
      <c r="C201" t="str">
        <f>products!C198</f>
        <v>p92</v>
      </c>
      <c r="D201" t="str">
        <f>products!D198</f>
        <v>C_RECR</v>
      </c>
    </row>
    <row r="202" spans="1:4" x14ac:dyDescent="0.25">
      <c r="A202">
        <f>products!A199</f>
        <v>198</v>
      </c>
      <c r="B202" t="str">
        <f>products!B199</f>
        <v>Other services (93)</v>
      </c>
      <c r="C202" t="str">
        <f>products!C199</f>
        <v>p93</v>
      </c>
      <c r="D202" t="str">
        <f>products!D199</f>
        <v>C_OSER</v>
      </c>
    </row>
    <row r="203" spans="1:4" x14ac:dyDescent="0.25">
      <c r="A203">
        <f>products!A200</f>
        <v>199</v>
      </c>
      <c r="B203" t="str">
        <f>products!B200</f>
        <v>Private households with employed persons (95)</v>
      </c>
      <c r="C203" t="str">
        <f>products!C200</f>
        <v>p95</v>
      </c>
      <c r="D203" t="str">
        <f>products!D200</f>
        <v>C_PRHH</v>
      </c>
    </row>
    <row r="204" spans="1:4" x14ac:dyDescent="0.25">
      <c r="A204">
        <f>products!A201</f>
        <v>200</v>
      </c>
      <c r="B204" t="str">
        <f>products!B201</f>
        <v>Extra-territorial organizations and bodies</v>
      </c>
      <c r="C204" t="str">
        <f>products!C201</f>
        <v>p99</v>
      </c>
      <c r="D204" t="str">
        <f>products!D201</f>
        <v>C_EXTO</v>
      </c>
    </row>
    <row r="205" spans="1:4" x14ac:dyDescent="0.25">
      <c r="A205">
        <f>valueadded_mat!A2</f>
        <v>201</v>
      </c>
      <c r="B205" t="str">
        <f>valueadded_mat!B2</f>
        <v>Taxes less subsidies on products purchased: Total</v>
      </c>
      <c r="C205" t="str">
        <f>valueadded_mat!C2</f>
        <v>w01</v>
      </c>
      <c r="D205" t="str">
        <f>valueadded_mat!D2</f>
        <v>T_TLSA</v>
      </c>
    </row>
    <row r="206" spans="1:4" x14ac:dyDescent="0.25">
      <c r="A206">
        <f>valueadded_mat!A3</f>
        <v>202</v>
      </c>
      <c r="B206" t="str">
        <f>valueadded_mat!B3</f>
        <v>Taxes on products purchased</v>
      </c>
      <c r="C206" t="str">
        <f>valueadded_mat!C3</f>
        <v>w01.a</v>
      </c>
      <c r="D206" t="str">
        <f>valueadded_mat!D3</f>
        <v>T_TAXA</v>
      </c>
    </row>
    <row r="207" spans="1:4" x14ac:dyDescent="0.25">
      <c r="A207">
        <f>valueadded_mat!A4</f>
        <v>203</v>
      </c>
      <c r="B207" t="str">
        <f>valueadded_mat!B4</f>
        <v>Subsidies on products purchased</v>
      </c>
      <c r="C207" t="str">
        <f>valueadded_mat!C4</f>
        <v>w01.b</v>
      </c>
      <c r="D207" t="str">
        <f>valueadded_mat!D4</f>
        <v>T_SUBA</v>
      </c>
    </row>
    <row r="208" spans="1:4" x14ac:dyDescent="0.25">
      <c r="A208">
        <f>valueadded_mat!A5</f>
        <v>204</v>
      </c>
      <c r="B208" t="str">
        <f>valueadded_mat!B5</f>
        <v>Other net taxes on production</v>
      </c>
      <c r="C208" t="str">
        <f>valueadded_mat!C5</f>
        <v>w02</v>
      </c>
      <c r="D208" t="str">
        <f>valueadded_mat!D5</f>
        <v>V_ONTP</v>
      </c>
    </row>
    <row r="209" spans="1:4" x14ac:dyDescent="0.25">
      <c r="A209">
        <f>valueadded_mat!A6</f>
        <v>205</v>
      </c>
      <c r="B209" t="str">
        <f>valueadded_mat!B6</f>
        <v>Compensation of employees; wages, salaries, &amp; employers' social contributions: Total</v>
      </c>
      <c r="C209" t="str">
        <f>valueadded_mat!C6</f>
        <v>w03</v>
      </c>
      <c r="D209" t="str">
        <f>valueadded_mat!D6</f>
        <v>V_WAGE</v>
      </c>
    </row>
    <row r="210" spans="1:4" x14ac:dyDescent="0.25">
      <c r="A210">
        <f>valueadded_mat!A7</f>
        <v>206</v>
      </c>
      <c r="B210" t="str">
        <f>valueadded_mat!B7</f>
        <v>Compensation of employees; wages, salaries, &amp; employers' social contributions: Low-skilled</v>
      </c>
      <c r="C210" t="str">
        <f>valueadded_mat!C7</f>
        <v>w03.a</v>
      </c>
      <c r="D210" t="str">
        <f>valueadded_mat!D7</f>
        <v>V_WALS</v>
      </c>
    </row>
    <row r="211" spans="1:4" x14ac:dyDescent="0.25">
      <c r="A211">
        <f>valueadded_mat!A8</f>
        <v>207</v>
      </c>
      <c r="B211" t="str">
        <f>valueadded_mat!B8</f>
        <v>Compensation of employees; wages, salaries, &amp; employers' social contributions: Medium-skilled</v>
      </c>
      <c r="C211" t="str">
        <f>valueadded_mat!C8</f>
        <v>w03.b</v>
      </c>
      <c r="D211" t="str">
        <f>valueadded_mat!D8</f>
        <v>V_WAMS</v>
      </c>
    </row>
    <row r="212" spans="1:4" x14ac:dyDescent="0.25">
      <c r="A212">
        <f>valueadded_mat!A9</f>
        <v>208</v>
      </c>
      <c r="B212" t="str">
        <f>valueadded_mat!B9</f>
        <v>Compensation of employees; wages, salaries, &amp; employers' social contributions: High-skilled</v>
      </c>
      <c r="C212" t="str">
        <f>valueadded_mat!C9</f>
        <v>w03.c</v>
      </c>
      <c r="D212" t="str">
        <f>valueadded_mat!D9</f>
        <v>V_WAHS</v>
      </c>
    </row>
    <row r="213" spans="1:4" x14ac:dyDescent="0.25">
      <c r="A213">
        <f>valueadded_mat!A10</f>
        <v>209</v>
      </c>
      <c r="B213" t="str">
        <f>valueadded_mat!B10</f>
        <v>Operating surplus: Consumption of fixed capital</v>
      </c>
      <c r="C213" t="str">
        <f>valueadded_mat!C10</f>
        <v>w04.a</v>
      </c>
      <c r="D213" t="str">
        <f>valueadded_mat!D10</f>
        <v>V_COFC</v>
      </c>
    </row>
    <row r="214" spans="1:4" x14ac:dyDescent="0.25">
      <c r="A214">
        <f>valueadded_mat!A11</f>
        <v>210</v>
      </c>
      <c r="B214" t="str">
        <f>valueadded_mat!B11</f>
        <v>Operating surplus: Rents on land</v>
      </c>
      <c r="C214" t="str">
        <f>valueadded_mat!C11</f>
        <v>w04.b</v>
      </c>
      <c r="D214" t="str">
        <f>valueadded_mat!D11</f>
        <v>V_RENL</v>
      </c>
    </row>
    <row r="215" spans="1:4" x14ac:dyDescent="0.25">
      <c r="A215">
        <f>valueadded_mat!A12</f>
        <v>211</v>
      </c>
      <c r="B215" t="str">
        <f>valueadded_mat!B12</f>
        <v>Operating surplus: Royalties on resources</v>
      </c>
      <c r="C215" t="str">
        <f>valueadded_mat!C12</f>
        <v>w04.c</v>
      </c>
      <c r="D215" t="str">
        <f>valueadded_mat!D12</f>
        <v>V_ROYR</v>
      </c>
    </row>
    <row r="216" spans="1:4" x14ac:dyDescent="0.25">
      <c r="A216">
        <f>valueadded_mat!A13</f>
        <v>212</v>
      </c>
      <c r="B216" t="str">
        <f>valueadded_mat!B13</f>
        <v>Operating surplus: Remaining net operating surplus</v>
      </c>
      <c r="C216" t="str">
        <f>valueadded_mat!C13</f>
        <v>w04.d</v>
      </c>
      <c r="D216" t="str">
        <f>valueadded_mat!D13</f>
        <v>V_NOPS</v>
      </c>
    </row>
  </sheetData>
  <pageMargins left="0.7" right="0.7" top="0.75" bottom="0.75" header="0.51180555555555496" footer="0.51180555555555496"/>
  <pageSetup paperSize="9" firstPageNumber="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zoomScaleNormal="100" workbookViewId="0">
      <selection activeCell="D29" activeCellId="30" sqref="B15:B16 B26 B59:B60 B62:C62 B88:C88 B99:C99 B106:C106 B108:C108 B110:C110 B112:C112 B114:C114 B116:B117 B123 B127 B133 B135 B138 B149:B151 B158 B161:B162 B170 B176:B191 B193:B196 B200 C17:C18 C60 C103 C116 C128 C152 D29"/>
    </sheetView>
  </sheetViews>
  <sheetFormatPr defaultRowHeight="15" x14ac:dyDescent="0.25"/>
  <cols>
    <col min="2" max="3" width="20.140625"/>
    <col min="4" max="4" width="42.7109375"/>
    <col min="5" max="5" width="3.85546875"/>
    <col min="6" max="6" width="6.28515625"/>
    <col min="7" max="7" width="4.28515625"/>
  </cols>
  <sheetData>
    <row r="1" spans="1:7" s="1" customFormat="1" x14ac:dyDescent="0.25">
      <c r="A1" s="1" t="s">
        <v>1240</v>
      </c>
      <c r="B1" s="1" t="s">
        <v>1</v>
      </c>
      <c r="C1" s="1" t="s">
        <v>1241</v>
      </c>
      <c r="D1" s="1" t="s">
        <v>1242</v>
      </c>
      <c r="E1" s="1" t="s">
        <v>1243</v>
      </c>
      <c r="F1" s="1" t="s">
        <v>1244</v>
      </c>
      <c r="G1" s="1" t="s">
        <v>1117</v>
      </c>
    </row>
    <row r="2" spans="1:7" x14ac:dyDescent="0.25">
      <c r="A2">
        <v>1</v>
      </c>
      <c r="B2" t="s">
        <v>1245</v>
      </c>
      <c r="C2" t="s">
        <v>1246</v>
      </c>
      <c r="D2" t="s">
        <v>1247</v>
      </c>
      <c r="E2">
        <v>1</v>
      </c>
      <c r="F2">
        <v>0</v>
      </c>
      <c r="G2">
        <v>0</v>
      </c>
    </row>
    <row r="3" spans="1:7" x14ac:dyDescent="0.25">
      <c r="A3">
        <v>2</v>
      </c>
      <c r="B3" t="s">
        <v>1248</v>
      </c>
      <c r="C3" t="s">
        <v>1249</v>
      </c>
      <c r="D3" t="s">
        <v>1250</v>
      </c>
      <c r="E3">
        <v>1</v>
      </c>
      <c r="F3">
        <v>0</v>
      </c>
      <c r="G3">
        <v>0</v>
      </c>
    </row>
    <row r="4" spans="1:7" x14ac:dyDescent="0.25">
      <c r="A4">
        <v>3</v>
      </c>
      <c r="B4" t="s">
        <v>1251</v>
      </c>
      <c r="C4" t="s">
        <v>1252</v>
      </c>
      <c r="D4" t="s">
        <v>1253</v>
      </c>
      <c r="E4">
        <v>0</v>
      </c>
      <c r="F4">
        <v>1</v>
      </c>
      <c r="G4">
        <v>0</v>
      </c>
    </row>
    <row r="5" spans="1:7" x14ac:dyDescent="0.25">
      <c r="A5">
        <v>4</v>
      </c>
      <c r="B5" t="s">
        <v>1254</v>
      </c>
      <c r="C5" t="s">
        <v>1255</v>
      </c>
      <c r="D5" t="s">
        <v>1256</v>
      </c>
      <c r="E5">
        <v>0</v>
      </c>
      <c r="F5">
        <v>1</v>
      </c>
      <c r="G5">
        <v>0</v>
      </c>
    </row>
    <row r="6" spans="1:7" x14ac:dyDescent="0.25">
      <c r="A6">
        <v>5</v>
      </c>
      <c r="B6" t="s">
        <v>1257</v>
      </c>
      <c r="C6" t="s">
        <v>1258</v>
      </c>
      <c r="D6" t="s">
        <v>1259</v>
      </c>
      <c r="E6">
        <v>0</v>
      </c>
      <c r="F6">
        <v>0</v>
      </c>
      <c r="G6">
        <v>1</v>
      </c>
    </row>
  </sheetData>
  <conditionalFormatting sqref="E2:G6">
    <cfRule type="cellIs" dxfId="0" priority="2" operator="equal">
      <formula>1</formula>
    </cfRule>
  </conditionalFormatting>
  <pageMargins left="0.7" right="0.7" top="0.75" bottom="0.75" header="0.51180555555555496" footer="0.51180555555555496"/>
  <pageSetup paperSize="9" firstPageNumber="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topLeftCell="A10" zoomScaleNormal="100" workbookViewId="0">
      <selection activeCell="G33" sqref="G33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1260</v>
      </c>
      <c r="C1" s="1" t="s">
        <v>1261</v>
      </c>
      <c r="D1" s="1" t="s">
        <v>1262</v>
      </c>
    </row>
    <row r="2" spans="1:4" x14ac:dyDescent="0.25">
      <c r="A2">
        <v>1</v>
      </c>
      <c r="B2">
        <v>1995</v>
      </c>
      <c r="C2" t="s">
        <v>1263</v>
      </c>
      <c r="D2" t="b">
        <f>FALSE()</f>
        <v>0</v>
      </c>
    </row>
    <row r="3" spans="1:4" x14ac:dyDescent="0.25">
      <c r="A3">
        <v>2</v>
      </c>
      <c r="B3">
        <v>1996</v>
      </c>
      <c r="D3" t="b">
        <f>FALSE()</f>
        <v>0</v>
      </c>
    </row>
    <row r="4" spans="1:4" x14ac:dyDescent="0.25">
      <c r="A4">
        <v>3</v>
      </c>
      <c r="B4">
        <v>1997</v>
      </c>
      <c r="D4" t="b">
        <f>FALSE()</f>
        <v>0</v>
      </c>
    </row>
    <row r="5" spans="1:4" x14ac:dyDescent="0.25">
      <c r="A5">
        <v>4</v>
      </c>
      <c r="B5">
        <v>1998</v>
      </c>
      <c r="D5" t="b">
        <f>FALSE()</f>
        <v>0</v>
      </c>
    </row>
    <row r="6" spans="1:4" x14ac:dyDescent="0.25">
      <c r="A6">
        <v>5</v>
      </c>
      <c r="B6">
        <v>1999</v>
      </c>
      <c r="D6" t="b">
        <f>FALSE()</f>
        <v>0</v>
      </c>
    </row>
    <row r="7" spans="1:4" x14ac:dyDescent="0.25">
      <c r="A7">
        <v>6</v>
      </c>
      <c r="B7">
        <v>2000</v>
      </c>
      <c r="C7" t="s">
        <v>1264</v>
      </c>
      <c r="D7" t="b">
        <f>FALSE()</f>
        <v>0</v>
      </c>
    </row>
    <row r="8" spans="1:4" x14ac:dyDescent="0.25">
      <c r="A8">
        <v>7</v>
      </c>
      <c r="B8">
        <v>2001</v>
      </c>
      <c r="D8" t="b">
        <f>FALSE()</f>
        <v>0</v>
      </c>
    </row>
    <row r="9" spans="1:4" x14ac:dyDescent="0.25">
      <c r="A9">
        <v>8</v>
      </c>
      <c r="B9">
        <v>2002</v>
      </c>
      <c r="D9" t="b">
        <f>FALSE()</f>
        <v>0</v>
      </c>
    </row>
    <row r="10" spans="1:4" x14ac:dyDescent="0.25">
      <c r="A10">
        <v>9</v>
      </c>
      <c r="B10">
        <v>2003</v>
      </c>
      <c r="D10" t="b">
        <f>FALSE()</f>
        <v>0</v>
      </c>
    </row>
    <row r="11" spans="1:4" x14ac:dyDescent="0.25">
      <c r="A11">
        <v>10</v>
      </c>
      <c r="B11">
        <v>2004</v>
      </c>
      <c r="D11" t="b">
        <f>FALSE()</f>
        <v>0</v>
      </c>
    </row>
    <row r="12" spans="1:4" x14ac:dyDescent="0.25">
      <c r="A12">
        <v>11</v>
      </c>
      <c r="B12">
        <v>2005</v>
      </c>
      <c r="D12" t="b">
        <f>FALSE()</f>
        <v>0</v>
      </c>
    </row>
    <row r="13" spans="1:4" x14ac:dyDescent="0.25">
      <c r="A13">
        <v>12</v>
      </c>
      <c r="B13">
        <v>2006</v>
      </c>
      <c r="D13" t="b">
        <f>FALSE()</f>
        <v>0</v>
      </c>
    </row>
    <row r="14" spans="1:4" x14ac:dyDescent="0.25">
      <c r="A14">
        <v>13</v>
      </c>
      <c r="B14">
        <v>2007</v>
      </c>
      <c r="C14" t="s">
        <v>1265</v>
      </c>
      <c r="D14" t="b">
        <f>FALSE()</f>
        <v>0</v>
      </c>
    </row>
    <row r="15" spans="1:4" x14ac:dyDescent="0.25">
      <c r="A15">
        <v>14</v>
      </c>
      <c r="B15">
        <v>2008</v>
      </c>
      <c r="D15" t="b">
        <f>FALSE()</f>
        <v>0</v>
      </c>
    </row>
    <row r="16" spans="1:4" x14ac:dyDescent="0.25">
      <c r="A16">
        <v>15</v>
      </c>
      <c r="B16">
        <v>2009</v>
      </c>
      <c r="D16" t="b">
        <f>FALSE()</f>
        <v>0</v>
      </c>
    </row>
    <row r="17" spans="1:4" x14ac:dyDescent="0.25">
      <c r="A17">
        <v>16</v>
      </c>
      <c r="B17">
        <v>2010</v>
      </c>
      <c r="D17" t="b">
        <f>FALSE()</f>
        <v>0</v>
      </c>
    </row>
    <row r="18" spans="1:4" x14ac:dyDescent="0.25">
      <c r="A18">
        <v>17</v>
      </c>
      <c r="B18">
        <v>2011</v>
      </c>
      <c r="D18" t="b">
        <f>FALSE()</f>
        <v>0</v>
      </c>
    </row>
    <row r="19" spans="1:4" x14ac:dyDescent="0.25">
      <c r="A19">
        <v>18</v>
      </c>
      <c r="B19">
        <v>2012</v>
      </c>
      <c r="D19" t="b">
        <f>FALSE()</f>
        <v>0</v>
      </c>
    </row>
    <row r="20" spans="1:4" x14ac:dyDescent="0.25">
      <c r="A20">
        <v>19</v>
      </c>
      <c r="B20">
        <v>2013</v>
      </c>
      <c r="D20" t="b">
        <f>FALSE()</f>
        <v>0</v>
      </c>
    </row>
    <row r="21" spans="1:4" x14ac:dyDescent="0.25">
      <c r="A21">
        <v>20</v>
      </c>
      <c r="B21">
        <v>2014</v>
      </c>
      <c r="D21" t="b">
        <f>FALSE()</f>
        <v>0</v>
      </c>
    </row>
    <row r="22" spans="1:4" x14ac:dyDescent="0.25">
      <c r="A22">
        <v>21</v>
      </c>
      <c r="B22">
        <v>2015</v>
      </c>
      <c r="D22" t="b">
        <f>FALSE()</f>
        <v>0</v>
      </c>
    </row>
    <row r="23" spans="1:4" x14ac:dyDescent="0.25">
      <c r="A23">
        <v>22</v>
      </c>
      <c r="B23">
        <v>2016</v>
      </c>
      <c r="D23" t="b">
        <f>FALSE()</f>
        <v>0</v>
      </c>
    </row>
    <row r="24" spans="1:4" x14ac:dyDescent="0.25">
      <c r="A24">
        <v>23</v>
      </c>
      <c r="B24">
        <v>2017</v>
      </c>
      <c r="D24" t="b">
        <f>FALSE()</f>
        <v>0</v>
      </c>
    </row>
    <row r="25" spans="1:4" x14ac:dyDescent="0.25">
      <c r="A25">
        <v>24</v>
      </c>
      <c r="B25">
        <v>2018</v>
      </c>
      <c r="D25" t="b">
        <f>FALSE()</f>
        <v>0</v>
      </c>
    </row>
    <row r="26" spans="1:4" x14ac:dyDescent="0.25">
      <c r="A26">
        <v>25</v>
      </c>
      <c r="B26">
        <v>2019</v>
      </c>
      <c r="D26" t="b">
        <f>FALSE()</f>
        <v>0</v>
      </c>
    </row>
    <row r="27" spans="1:4" x14ac:dyDescent="0.25">
      <c r="A27">
        <v>26</v>
      </c>
      <c r="B27">
        <v>2020</v>
      </c>
      <c r="D27" t="b">
        <f>FALSE()</f>
        <v>0</v>
      </c>
    </row>
    <row r="28" spans="1:4" x14ac:dyDescent="0.25">
      <c r="A28">
        <v>27</v>
      </c>
      <c r="B28">
        <v>2021</v>
      </c>
      <c r="D28" t="b">
        <f>FALSE()</f>
        <v>0</v>
      </c>
    </row>
    <row r="29" spans="1:4" x14ac:dyDescent="0.25">
      <c r="A29">
        <v>28</v>
      </c>
      <c r="B29">
        <v>2022</v>
      </c>
      <c r="D29" t="b">
        <f>FALSE()</f>
        <v>0</v>
      </c>
    </row>
    <row r="30" spans="1:4" x14ac:dyDescent="0.25">
      <c r="A30">
        <v>29</v>
      </c>
      <c r="B30">
        <v>2023</v>
      </c>
      <c r="C30" t="s">
        <v>1266</v>
      </c>
      <c r="D30" t="b">
        <f>FALSE()</f>
        <v>0</v>
      </c>
    </row>
    <row r="31" spans="1:4" x14ac:dyDescent="0.25">
      <c r="A31">
        <v>30</v>
      </c>
      <c r="B31">
        <v>2024</v>
      </c>
      <c r="D31" t="b">
        <f>TRUE()</f>
        <v>1</v>
      </c>
    </row>
    <row r="32" spans="1:4" x14ac:dyDescent="0.25">
      <c r="A32">
        <v>31</v>
      </c>
      <c r="B32">
        <v>2025</v>
      </c>
      <c r="D32" t="b">
        <f>TRUE()</f>
        <v>1</v>
      </c>
    </row>
    <row r="33" spans="1:4" x14ac:dyDescent="0.25">
      <c r="A33">
        <v>32</v>
      </c>
      <c r="B33">
        <v>2026</v>
      </c>
      <c r="D33" t="b">
        <f>TRUE()</f>
        <v>1</v>
      </c>
    </row>
    <row r="34" spans="1:4" x14ac:dyDescent="0.25">
      <c r="A34">
        <v>33</v>
      </c>
      <c r="B34">
        <v>2027</v>
      </c>
      <c r="D34" t="b">
        <f>TRUE()</f>
        <v>1</v>
      </c>
    </row>
    <row r="35" spans="1:4" x14ac:dyDescent="0.25">
      <c r="A35">
        <v>34</v>
      </c>
      <c r="B35">
        <v>2028</v>
      </c>
      <c r="D35" t="b">
        <f>TRUE()</f>
        <v>1</v>
      </c>
    </row>
  </sheetData>
  <pageMargins left="0.7" right="0.7" top="0.75" bottom="0.75" header="0.51180555555555496" footer="0.51180555555555496"/>
  <pageSetup paperSize="9" firstPageNumber="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zoomScaleNormal="100" workbookViewId="0">
      <selection activeCell="O31" sqref="O31"/>
    </sheetView>
  </sheetViews>
  <sheetFormatPr defaultRowHeight="15" x14ac:dyDescent="0.25"/>
  <sheetData>
    <row r="1" spans="1:1" x14ac:dyDescent="0.25">
      <c r="A1" t="s">
        <v>1267</v>
      </c>
    </row>
  </sheetData>
  <pageMargins left="0.7" right="0.7" top="0.75" bottom="0.75" header="0.51180555555555496" footer="0.51180555555555496"/>
  <pageSetup paperSize="9" firstPageNumber="0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17"/>
  <sheetViews>
    <sheetView zoomScaleNormal="100" workbookViewId="0">
      <selection activeCell="Q35" sqref="Q35"/>
    </sheetView>
  </sheetViews>
  <sheetFormatPr defaultRowHeight="15" x14ac:dyDescent="0.25"/>
  <sheetData>
    <row r="2" spans="1:4" x14ac:dyDescent="0.25">
      <c r="A2" s="1" t="s">
        <v>1268</v>
      </c>
    </row>
    <row r="3" spans="1:4" x14ac:dyDescent="0.25">
      <c r="A3" s="1" t="s">
        <v>1269</v>
      </c>
    </row>
    <row r="5" spans="1:4" x14ac:dyDescent="0.25">
      <c r="A5" t="s">
        <v>1270</v>
      </c>
    </row>
    <row r="7" spans="1:4" x14ac:dyDescent="0.25">
      <c r="A7" s="1" t="s">
        <v>1271</v>
      </c>
    </row>
    <row r="8" spans="1:4" x14ac:dyDescent="0.25">
      <c r="C8" t="s">
        <v>1272</v>
      </c>
    </row>
    <row r="9" spans="1:4" x14ac:dyDescent="0.25">
      <c r="D9" t="s">
        <v>1273</v>
      </c>
    </row>
    <row r="10" spans="1:4" x14ac:dyDescent="0.25">
      <c r="D10" t="s">
        <v>1274</v>
      </c>
    </row>
    <row r="13" spans="1:4" x14ac:dyDescent="0.25">
      <c r="A13" s="1" t="s">
        <v>1275</v>
      </c>
    </row>
    <row r="14" spans="1:4" x14ac:dyDescent="0.25">
      <c r="C14" t="s">
        <v>1276</v>
      </c>
    </row>
    <row r="15" spans="1:4" x14ac:dyDescent="0.25">
      <c r="D15" t="s">
        <v>1277</v>
      </c>
    </row>
    <row r="17" spans="3:4" x14ac:dyDescent="0.25">
      <c r="C17" t="s">
        <v>1278</v>
      </c>
      <c r="D17" t="s">
        <v>1279</v>
      </c>
    </row>
  </sheetData>
  <pageMargins left="0.7" right="0.7" top="0.75" bottom="0.75" header="0.51180555555555496" footer="0.51180555555555496"/>
  <pageSetup paperSize="9" firstPageNumber="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zoomScaleNormal="100" workbookViewId="0">
      <selection activeCell="G14" activeCellId="30" sqref="B15:B16 B26 B59:B60 B62:C62 B88:C88 B99:C99 B106:C106 B108:C108 B110:C110 B112:C112 B114:C114 B116:B117 B123 B127 B133 B135 B138 B149:B151 B158 B161:B162 B170 B176:B191 B193:B196 B200 C17:C18 C60 C103 C116 C128 C152 G14"/>
    </sheetView>
  </sheetViews>
  <sheetFormatPr defaultRowHeight="15" x14ac:dyDescent="0.25"/>
  <sheetData>
    <row r="1" spans="1:7" x14ac:dyDescent="0.25">
      <c r="A1" t="s">
        <v>1280</v>
      </c>
    </row>
    <row r="2" spans="1:7" x14ac:dyDescent="0.25">
      <c r="A2" t="s">
        <v>1281</v>
      </c>
    </row>
    <row r="4" spans="1:7" x14ac:dyDescent="0.25">
      <c r="A4" t="s">
        <v>1282</v>
      </c>
    </row>
    <row r="6" spans="1:7" ht="28.5" x14ac:dyDescent="0.45">
      <c r="A6" s="8" t="s">
        <v>1283</v>
      </c>
    </row>
    <row r="7" spans="1:7" x14ac:dyDescent="0.25">
      <c r="G7" t="s">
        <v>1284</v>
      </c>
    </row>
    <row r="8" spans="1:7" ht="21" x14ac:dyDescent="0.35">
      <c r="A8" s="9" t="s">
        <v>1285</v>
      </c>
      <c r="C8" t="s">
        <v>1286</v>
      </c>
      <c r="F8" t="s">
        <v>1287</v>
      </c>
    </row>
    <row r="9" spans="1:7" x14ac:dyDescent="0.25">
      <c r="C9" t="s">
        <v>1288</v>
      </c>
      <c r="F9" t="s">
        <v>1289</v>
      </c>
    </row>
    <row r="10" spans="1:7" x14ac:dyDescent="0.25">
      <c r="C10" t="s">
        <v>1290</v>
      </c>
      <c r="G10" t="s">
        <v>1291</v>
      </c>
    </row>
    <row r="12" spans="1:7" x14ac:dyDescent="0.25">
      <c r="C12" t="s">
        <v>1292</v>
      </c>
      <c r="G12" t="s">
        <v>1293</v>
      </c>
    </row>
    <row r="13" spans="1:7" x14ac:dyDescent="0.25">
      <c r="C13" t="s">
        <v>1294</v>
      </c>
      <c r="G13" t="s">
        <v>1295</v>
      </c>
    </row>
    <row r="14" spans="1:7" ht="21" x14ac:dyDescent="0.35">
      <c r="A14" s="9" t="s">
        <v>1296</v>
      </c>
    </row>
    <row r="15" spans="1:7" x14ac:dyDescent="0.25">
      <c r="C15" t="s">
        <v>1297</v>
      </c>
      <c r="F15" t="s">
        <v>1287</v>
      </c>
    </row>
    <row r="16" spans="1:7" x14ac:dyDescent="0.25">
      <c r="C16" t="s">
        <v>1298</v>
      </c>
      <c r="F16" t="s">
        <v>1289</v>
      </c>
    </row>
    <row r="17" spans="3:7" x14ac:dyDescent="0.25">
      <c r="C17" t="s">
        <v>1290</v>
      </c>
      <c r="G17" t="s">
        <v>1299</v>
      </c>
    </row>
    <row r="19" spans="3:7" x14ac:dyDescent="0.25">
      <c r="C19" t="s">
        <v>1300</v>
      </c>
    </row>
  </sheetData>
  <pageMargins left="0.7" right="0.7" top="0.75" bottom="0.75" header="0.51180555555555496" footer="0.51180555555555496"/>
  <pageSetup paperSize="9" firstPageNumber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products</vt:lpstr>
      <vt:lpstr>industries</vt:lpstr>
      <vt:lpstr>valueadded_mat</vt:lpstr>
      <vt:lpstr>valueadded_creea</vt:lpstr>
      <vt:lpstr>finaldemand</vt:lpstr>
      <vt:lpstr>supply_table_mat</vt:lpstr>
      <vt:lpstr>use_table_mat</vt:lpstr>
      <vt:lpstr>use_layers_mat</vt:lpstr>
      <vt:lpstr>timeline</vt:lpstr>
      <vt:lpstr>extensions</vt:lpstr>
      <vt:lpstr>SUTstructure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Sector classification DESIRE</dc:title>
  <cp:lastModifiedBy>Richard Wood</cp:lastModifiedBy>
  <cp:revision>2</cp:revision>
  <dcterms:created xsi:type="dcterms:W3CDTF">2006-09-16T00:00:00Z</dcterms:created>
  <dcterms:modified xsi:type="dcterms:W3CDTF">2026-03-27T03:01:58Z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ntentTypeId">
    <vt:lpwstr>0x010100040FC4C73D8D2B4194611F21E3F26B41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